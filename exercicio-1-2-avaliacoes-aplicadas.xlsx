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ção ID-001" sheetId="1" state="visible" r:id="rId3"/>
    <sheet name="Avaliação ID-005" sheetId="2" state="visible" r:id="rId4"/>
    <sheet name="Avaliação ID-004" sheetId="3" state="visible" r:id="rId5"/>
    <sheet name="Avaliação ID-003" sheetId="4" state="visible" r:id="rId6"/>
    <sheet name="Avaliação ID-002" sheetId="5" state="visible" r:id="rId7"/>
    <sheet name="Rubrica" sheetId="6" state="visible" r:id="rId8"/>
    <sheet name="Log do Lo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<sst xmlns="http://schemas.openxmlformats.org/spreadsheetml/2006/main" count="375" uniqueCount="160">
  <si>
    <t xml:space="preserve">🔍  TEMPLATE DE AVALIAÇÃO DE RESPOSTAS — ASSISTENTE IA NOVATECH</t>
  </si>
  <si>
    <t xml:space="preserve">Time de QA  |  Versão 1.0  |  Preencha os campos em amarelo</t>
  </si>
  <si>
    <t xml:space="preserve">IDENTIFICAÇÃO DA RESPOSTA AVALIADA</t>
  </si>
  <si>
    <t xml:space="preserve">ID da Resposta</t>
  </si>
  <si>
    <t xml:space="preserve">ID-001</t>
  </si>
  <si>
    <t xml:space="preserve">Data da Avaliação</t>
  </si>
  <si>
    <t xml:space="preserve">03/06/2025</t>
  </si>
  <si>
    <t xml:space="preserve">Avaliador (nome)</t>
  </si>
  <si>
    <t xml:space="preserve">QA</t>
  </si>
  <si>
    <t xml:space="preserve">Versão do Assistente</t>
  </si>
  <si>
    <t xml:space="preserve">v1.0-exercicio</t>
  </si>
  <si>
    <t xml:space="preserve">CONTEÚDO AVALIADO</t>
  </si>
  <si>
    <t xml:space="preserve">Pergunta do Atendente</t>
  </si>
  <si>
    <t xml:space="preserve">Qual o prazo de devolução?</t>
  </si>
  <si>
    <t xml:space="preserve">Resposta do Assistente</t>
  </si>
  <si>
    <t xml:space="preserve">O prazo é de 7 dias úteis, exceto para cargas perigosas classes 1 a 6 da ANTT.</t>
  </si>
  <si>
    <t xml:space="preserve">Fonte(s) Citada(s)</t>
  </si>
  <si>
    <t xml:space="preserve">POL-001, seção 3.2</t>
  </si>
  <si>
    <t xml:space="preserve">AVALIAÇÃO POR DIMENSÃO</t>
  </si>
  <si>
    <t xml:space="preserve">Dimensão / Critério</t>
  </si>
  <si>
    <t xml:space="preserve">Justificativa</t>
  </si>
  <si>
    <t xml:space="preserve">Nota (1–3)</t>
  </si>
  <si>
    <t xml:space="preserve">Peso</t>
  </si>
  <si>
    <t xml:space="preserve">D1 — Precisão Factual</t>
  </si>
  <si>
    <t xml:space="preserve">Verifique cada afirmação da resposta contra a documentação interna.
• Nota 3: todos os fatos corretos e atualizados.
• Nota 2: ao menos um detalhe impreciso ou desatualizado (sem risco grave).
• Nota 1: erro factual significativo que pode induzir o atendente a erro grave com o cliente.
⚠ BLOQUEIO AUTOMÁTICO se nota = 1.</t>
  </si>
  <si>
    <t xml:space="preserve">40%</t>
  </si>
  <si>
    <t xml:space="preserve">Prazo de 7 dias úteis correto (POL-001 §3.1) e exceção para cargas perigosas classes 1-6 correta (POL-001 §3.2). Sem erros factuais.</t>
  </si>
  <si>
    <t xml:space="preserve">D2 — Citação de Fonte</t>
  </si>
  <si>
    <t xml:space="preserve">Verifique se o documento, versão e seção foram citados.
• Nota 3: documento + versão + seção corretos citados.
• Nota 2: fonte presente mas faltando versão ou seção.
• Nota 1: fonte ausente ou documento errado citado.</t>
  </si>
  <si>
    <t xml:space="preserve">25%</t>
  </si>
  <si>
    <t xml:space="preserve">Cita POL-001 e seção 3.2, mas o prazo geral está em §3.1, não §3.2. Seção parcialmente incorreta.</t>
  </si>
  <si>
    <t xml:space="preserve">D3 — Aderência aos Guardrails</t>
  </si>
  <si>
    <t xml:space="preserve">Os 4 guardrails obrigatórios são: (1) citar fonte; (2) não inventar dados; (3) declarar quando não sabe; (4) usar português formal.
• Nota 3: todos os 4 guardrails respeitados.
• Nota 2: falha em exatamente 1 guardrail.
• Nota 1: falha em 2 ou mais guardrails.
⚠ BLOQUEIO AUTOMÁTICO se nota = 1.</t>
  </si>
  <si>
    <t xml:space="preserve">20%</t>
  </si>
  <si>
    <t xml:space="preserve">Todos os 4 guardrails respeitados: fonte citada, sem dados inventados, sem lacuna, português formal.</t>
  </si>
  <si>
    <t xml:space="preserve">D4 — Completude</t>
  </si>
  <si>
    <t xml:space="preserve">Avalie se todos os aspectos da pergunta foram respondidos.
• Nota 3: cobre todos os aspectos relevantes, incluindo exceções.
• Nota 2: responde o núcleo mas omite ao menos um detalhe relevante.
• Nota 1: omite informação crítica que mudaria o encaminhamento.</t>
  </si>
  <si>
    <t xml:space="preserve">15%</t>
  </si>
  <si>
    <t xml:space="preserve">Menciona prazo geral e exceção de cargas perigosas, mas omite outras exceções (cargas refrigeradas, lacre violado) e não orienta o próximo passo (ramal 4500).</t>
  </si>
  <si>
    <t xml:space="preserve">JUSTIFICATIVA QUALITATIVA (opcional — use para contexto adicional)</t>
  </si>
  <si>
    <t xml:space="preserve">Observações gerais</t>
  </si>
  <si>
    <t xml:space="preserve">Registre aqui qualquer observação que não caiba nas justificativas acima.</t>
  </si>
  <si>
    <t xml:space="preserve">PONTUAÇÃO AUTOMÁTICA</t>
  </si>
  <si>
    <t xml:space="preserve">D1 × 0,40</t>
  </si>
  <si>
    <t xml:space="preserve">D2 × 0,25</t>
  </si>
  <si>
    <t xml:space="preserve">D3 × 0,20</t>
  </si>
  <si>
    <t xml:space="preserve">D4 × 0,15</t>
  </si>
  <si>
    <t xml:space="preserve">Bloqueio Automático?</t>
  </si>
  <si>
    <t xml:space="preserve">PONTUAÇÃO FINAL PONDERADA</t>
  </si>
  <si>
    <t xml:space="preserve">CLASSIFICAÇÃO FINAL</t>
  </si>
  <si>
    <t xml:space="preserve">AÇÃO RECOMENDADA</t>
  </si>
  <si>
    <t xml:space="preserve">NovaTech Logística  |  QA de IA  |  Campos em amarelo = preenchimento obrigatório  |  Aba 'Rubrica' = guia completo</t>
  </si>
  <si>
    <t xml:space="preserve">ID-005</t>
  </si>
  <si>
    <t xml:space="preserve">Qual o multiplicador de frete para o Sudeste?</t>
  </si>
  <si>
    <t xml:space="preserve">O multiplicador regional para o Sudeste é 1.1.</t>
  </si>
  <si>
    <t xml:space="preserve">PROC-042-v2, seção 2</t>
  </si>
  <si>
    <t xml:space="preserve">Valor 1.1 correto na PROC-042-v2 §2.1. Porém não menciona que a v1 indica 1.0 para a mesma região — contradição relevante para clientes com contratos anteriores a dez/2023.</t>
  </si>
  <si>
    <t xml:space="preserve">Cita corretamente PROC-042-v2 e seção 2, onde o multiplicador 1.1 para Sudeste está documentado.</t>
  </si>
  <si>
    <t xml:space="preserve">Cita fonte e não inventa dados. Porém não menciona a existência da v1 com valor diferente (1.0), o que configura falha no guardrail 3 (declarar quando contexto é ambíguo).</t>
  </si>
  <si>
    <t xml:space="preserve">Informa o multiplicador da v2, mas omite o conflito com a v1 (1.0) e a cláusula de transição (§5). Para contratos anteriores a dez/2023 o valor pode ser diferente.</t>
  </si>
  <si>
    <t xml:space="preserve">ID-004</t>
  </si>
  <si>
    <t xml:space="preserve">Posso devolver carga perigosa?</t>
  </si>
  <si>
    <t xml:space="preserve">Sim, cargas perigosas podem ser devolvidas em até 7 dias úteis.</t>
  </si>
  <si>
    <t xml:space="preserve">ERRO CRÍTICO — inversão da regra. POL-001 §3.2 afirma que cargas perigosas classes 1-6 NÃO são elegíveis para devolução pelo processo padrão. A resposta diz o oposto.</t>
  </si>
  <si>
    <t xml:space="preserve">Cita corretamente POL-001 e seção 3.2 (seção de exceções), mas interpreta a regra de forma invertida. Fonte certa, conteúdo errado.</t>
  </si>
  <si>
    <t xml:space="preserve">Viola guardrail 2 (afirma como verdade o contrário da documentação) e guardrail 3 (deveria declarar que a devolução não é possível e orientar o ramal 4500). BLOQUEIO AUTOMÁTICO.</t>
  </si>
  <si>
    <t xml:space="preserve">Além de omitir a orientação correta (ramal 4500, Gestão de Riscos), afirma o contrário da regra. Falha crítica de completude e precisão simultaneamente.</t>
  </si>
  <si>
    <t xml:space="preserve">ID-003</t>
  </si>
  <si>
    <t xml:space="preserve">Qual o SLA do cliente Platinum?</t>
  </si>
  <si>
    <t xml:space="preserve">O cliente Platinum tem resposta em até 1h e resolução em até 12h.</t>
  </si>
  <si>
    <t xml:space="preserve">SLA-2024</t>
  </si>
  <si>
    <t xml:space="preserve">ERRO CRÍTICO — tier Platinum não existe. SLA-2024 §1 afirma explicitamente que só existem 3 tiers: Gold, Silver e Standard. Os valores 1h/12h também são inventados. Alucinação dupla.</t>
  </si>
  <si>
    <t xml:space="preserve">Cita SLA-2024, mas o documento afirma explicitamente que esse tier não existe. A citação valida uma informação que o próprio documento contradiz.</t>
  </si>
  <si>
    <t xml:space="preserve">Viola guardrail 2 (inventa tier e valores inexistentes) e guardrail 1 (cita fonte para validar dado ausente nela). BLOQUEIO AUTOMÁTICO.</t>
  </si>
  <si>
    <t xml:space="preserve">Responde com dados completamente fabricados sobre um tier inexistente. Não há informação correta a avaliar.</t>
  </si>
  <si>
    <t xml:space="preserve">ID-002</t>
  </si>
  <si>
    <t xml:space="preserve">Quanto custa frete para 600kg para Manaus?</t>
  </si>
  <si>
    <t xml:space="preserve">O frete especial para cargas acima de 500kg para a região Norte tem multiplicador de 1.8 sobre o valor base.</t>
  </si>
  <si>
    <t xml:space="preserve">Multiplicador 1.8 para Norte correto (PROC-042-v2 §2.1). Porém omite o fator de peso (1.0 para 600kg) e a fórmula completa, tornando o cálculo incompleto.</t>
  </si>
  <si>
    <t xml:space="preserve">Cita corretamente PROC-042-v2 e seção 2, onde os multiplicadores regionais estão documentados.</t>
  </si>
  <si>
    <t xml:space="preserve">Todos os 4 guardrails respeitados. Não inventa valores; o multiplicador 1.8 está na v2.</t>
  </si>
  <si>
    <t xml:space="preserve">Informa o multiplicador regional, mas omite o fator de peso e a fórmula completa. O atendente precisaria buscar mais informação para calcular o valor final.</t>
  </si>
  <si>
    <t xml:space="preserve">📋  RUBRICA DE AVALIAÇÃO — ASSISTENTE IA NOVATECH  |  Referência rápida para o time de QA</t>
  </si>
  <si>
    <t xml:space="preserve">Esta aba contém todos os critérios. Dois avaliadores diferentes devem chegar à mesma nota ao consultar esta rubrica.</t>
  </si>
  <si>
    <t xml:space="preserve">Dimensão</t>
  </si>
  <si>
    <t xml:space="preserve">Nota</t>
  </si>
  <si>
    <t xml:space="preserve">Critério detalhado</t>
  </si>
  <si>
    <t xml:space="preserve">Peso / Observação</t>
  </si>
  <si>
    <t xml:space="preserve">3</t>
  </si>
  <si>
    <t xml:space="preserve">Todos os fatos da resposta estão corretos e atualizados conforme a documentação interna vigente. Nenhuma afirmação contraditória ou desatualizada.</t>
  </si>
  <si>
    <t xml:space="preserve">Peso: 40%</t>
  </si>
  <si>
    <t xml:space="preserve">2</t>
  </si>
  <si>
    <t xml:space="preserve">Ao menos um detalhe está impreciso ou desatualizado (ex: valor numérico errado, prazo desatualizado), mas sem risco de erro grave no atendimento ao cliente.</t>
  </si>
  <si>
    <t xml:space="preserve">1</t>
  </si>
  <si>
    <t xml:space="preserve">Erro factual significativo que pode induzir o atendente a tomar uma decisão errada com o cliente (ex: prazo incorreto que causa prejuízo, dado de rastreio falso). ⛔ BLOQUEIO AUTOMÁTICO.</t>
  </si>
  <si>
    <t xml:space="preserve">⛔ BLOQUEIO
AUTOMÁTICO</t>
  </si>
  <si>
    <t xml:space="preserve">Documento correto citado com: (a) nome exato do documento interno, (b) número de versão, (c) seção ou página específica. Exemplo: 'Manual Operacional v3.2, Seção 4.1'.</t>
  </si>
  <si>
    <t xml:space="preserve">Peso: 25%</t>
  </si>
  <si>
    <t xml:space="preserve">Fonte presente, mas faltando versão (ex: só 'Manual Operacional, Seção 4.1') ou faltando seção (ex: 'Manual Operacional v3.2'). Citação incompleta, mas não enganosa.</t>
  </si>
  <si>
    <t xml:space="preserve">Fonte completamente ausente na resposta, ou documento errado citado (ex: cita 'Política Comercial' quando a informação está no 'Manual Operacional').</t>
  </si>
  <si>
    <t xml:space="preserve">D3 — Guardrails</t>
  </si>
  <si>
    <t xml:space="preserve">Todos os 4 guardrails respeitados:
① Cita fonte documentada
② Não inventa dados (sem alucinação)
③ Declara explicitamente quando não sabe
④ Usa português formal em toda a resposta</t>
  </si>
  <si>
    <t xml:space="preserve">Peso: 20%</t>
  </si>
  <si>
    <t xml:space="preserve">Falha em exatamente 1 guardrail. Exemplo: resposta informal em um trecho (falha no guardrail ④) mas os demais foram respeitados.</t>
  </si>
  <si>
    <t xml:space="preserve">Falha em 2 ou mais guardrails. Exemplo: inventa dado E não cita fonte. ⛔ BLOQUEIO AUTOMÁTICO.</t>
  </si>
  <si>
    <t xml:space="preserve">A resposta cobre todos os aspectos relevantes da pergunta, incluindo exceções, casos especiais e próximos passos quando aplicável.</t>
  </si>
  <si>
    <t xml:space="preserve">Peso: 15%</t>
  </si>
  <si>
    <t xml:space="preserve">Responde o núcleo da pergunta, mas omite ao menos um detalhe relevante (ex: menciona o prazo padrão mas não menciona a exceção para clientes premium).</t>
  </si>
  <si>
    <t xml:space="preserve">Omite informação crítica que mudaria o encaminhamento do atendimento (ex: não menciona que o procedimento não se aplica a contratos vigentes antes de 2023).</t>
  </si>
  <si>
    <t xml:space="preserve">GUARDRAILS DETALHADOS — D3</t>
  </si>
  <si>
    <t xml:space="preserve">① Citar Fonte</t>
  </si>
  <si>
    <t xml:space="preserve">Toda afirmação deve vir acompanhada de referência a documento interno. Não é suficiente dizer 'conforme as políticas da empresa'.</t>
  </si>
  <si>
    <t xml:space="preserve">② Não Inventar Dados</t>
  </si>
  <si>
    <t xml:space="preserve">O assistente jamais deve criar informações não presentes na base documental. Se o dado não existe nos documentos, deve declarar isso.</t>
  </si>
  <si>
    <t xml:space="preserve">③ Declarar Ignorância</t>
  </si>
  <si>
    <t xml:space="preserve">Quando a pergunta está fora do escopo ou o dado não consta na documentação, o assistente deve dizer explicitamente: 'Não encontrei essa informação nos documentos disponíveis.'</t>
  </si>
  <si>
    <t xml:space="preserve">④ Português Formal</t>
  </si>
  <si>
    <t xml:space="preserve">Sem gírias, abreviações informais ou linguagem casual. Tratamento em 3ª pessoa ou 'você' formal. Verificar especialmente saudações e fechamentos.</t>
  </si>
  <si>
    <t xml:space="preserve">TABELA DE CLASSIFICAÇÃO FINAL</t>
  </si>
  <si>
    <t xml:space="preserve">2,5 a 3,0</t>
  </si>
  <si>
    <t xml:space="preserve">✅  APROVADA</t>
  </si>
  <si>
    <t xml:space="preserve">Resposta pode ser liberada sem restrições.</t>
  </si>
  <si>
    <t xml:space="preserve">2,0 a 2,4</t>
  </si>
  <si>
    <t xml:space="preserve">⚠️  APROVADA COM RESSALVAS</t>
  </si>
  <si>
    <t xml:space="preserve">Registrar ressalva no log. Recomendar correção antes do próximo ciclo.</t>
  </si>
  <si>
    <t xml:space="preserve">1,5 a 1,9</t>
  </si>
  <si>
    <t xml:space="preserve">🔁  REPROVADA — REVISÃO NECESSÁRIA</t>
  </si>
  <si>
    <t xml:space="preserve">Devolver ao desenvolvimento para ajuste. Retestar antes de usar.</t>
  </si>
  <si>
    <t xml:space="preserve">1,0 a 1,4</t>
  </si>
  <si>
    <t xml:space="preserve">❌  REPROVADA — FALHA CRÍTICA</t>
  </si>
  <si>
    <t xml:space="preserve">Escalar imediatamente. Não usar esta resposta.</t>
  </si>
  <si>
    <t xml:space="preserve">D1=1 ou D3=1</t>
  </si>
  <si>
    <t xml:space="preserve">⛔  FALHA CRÍTICA (BLOQUEIO)</t>
  </si>
  <si>
    <t xml:space="preserve">Independentemente da pontuação ponderada. Escalar imediatamente.</t>
  </si>
  <si>
    <t xml:space="preserve">📦  LOG DE AVALIAÇÕES DO LOTE — ASSISTENTE IA NOVATECH</t>
  </si>
  <si>
    <t xml:space="preserve">Preencha uma linha por resposta avaliada. Pontuação e classificação calculadas automaticamente.</t>
  </si>
  <si>
    <t xml:space="preserve">ID Resposta</t>
  </si>
  <si>
    <t xml:space="preserve">Data Aval.</t>
  </si>
  <si>
    <t xml:space="preserve">Avaliador</t>
  </si>
  <si>
    <t xml:space="preserve">Versão
Assistente</t>
  </si>
  <si>
    <t xml:space="preserve">D1
(Prec.)</t>
  </si>
  <si>
    <t xml:space="preserve">D2
(Fonte)</t>
  </si>
  <si>
    <t xml:space="preserve">D3
(Guard.)</t>
  </si>
  <si>
    <t xml:space="preserve">D4
(Complet.)</t>
  </si>
  <si>
    <t xml:space="preserve">Pontuação
Final</t>
  </si>
  <si>
    <t xml:space="preserve">Classificação</t>
  </si>
  <si>
    <t xml:space="preserve">Ação Recomendada</t>
  </si>
  <si>
    <t xml:space="preserve">✅ APROVADA</t>
  </si>
  <si>
    <t xml:space="preserve">Nenhuma ação necessária.</t>
  </si>
  <si>
    <t xml:space="preserve">⚠️ APROVADA COM RESSALVAS</t>
  </si>
  <si>
    <t xml:space="preserve">Registrar ressalva. Corrigir no próximo ciclo.</t>
  </si>
  <si>
    <t xml:space="preserve">⛔ FALHA CRÍTICA (BLOQUEIO)</t>
  </si>
  <si>
    <t xml:space="preserve">Escalar imediatamente. Não utilizar.</t>
  </si>
  <si>
    <t xml:space="preserve">RESUMO DO LOTE</t>
  </si>
  <si>
    <t xml:space="preserve">Total Avaliadas</t>
  </si>
  <si>
    <t xml:space="preserve">Aprovadas (≥2,5)</t>
  </si>
  <si>
    <t xml:space="preserve">Com Ressalvas</t>
  </si>
  <si>
    <t xml:space="preserve">Reprovadas</t>
  </si>
  <si>
    <t xml:space="preserve">Falhas Críticas</t>
  </si>
  <si>
    <t xml:space="preserve">Média Pontuação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</si>
</sst>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FEF9E7"/>
      </patternFill>
    </fill>
    <fill>
      <patternFill patternType="solid">
        <fgColor rgb="FFC6EFCE"/>
        <bgColor rgb="FFD5F5E3"/>
      </patternFill>
    </fill>
    <fill>
      <patternFill patternType="solid">
        <fgColor rgb="FFD5F5E3"/>
        <bgColor rgb="FFDDEBF7"/>
      </patternFill>
    </fill>
    <fill>
      <patternFill patternType="solid">
        <fgColor rgb="FFDDEBF7"/>
        <bgColor rgb="FFEAF0FB"/>
      </patternFill>
    </fill>
    <fill>
      <patternFill patternType="solid">
        <fgColor rgb="FFFEF9E7"/>
        <bgColor rgb="FFF9F9F9"/>
      </patternFill>
    </fill>
    <fill>
      <patternFill patternType="solid">
        <fgColor rgb="FFFCE4D6"/>
        <bgColor rgb="FFFDEDEC"/>
      </patternFill>
    </fill>
    <fill>
      <patternFill patternType="solid">
        <fgColor rgb="FFEAF0FB"/>
        <bgColor rgb="FFF2F2F2"/>
      </patternFill>
    </fill>
    <fill>
      <patternFill patternType="solid">
        <fgColor rgb="FFF2F2F2"/>
        <bgColor rgb="FFEAF0FB"/>
      </patternFill>
    </fill>
    <fill>
      <patternFill patternType="solid">
        <fgColor rgb="FFFDEDEC"/>
        <bgColor rgb="FFF2F2F2"/>
      </patternFill>
    </fill>
    <fill>
      <patternFill patternType="solid">
        <fgColor rgb="FFFFD7D7"/>
        <bgColor rgb="FFFCE4D6"/>
      </patternFill>
    </fill>
    <fill>
      <patternFill patternType="solid">
        <fgColor rgb="FF70AD47"/>
        <bgColor rgb="FF99CC00"/>
      </patternFill>
    </fill>
    <fill>
      <patternFill patternType="solid">
        <fgColor rgb="FFFFD966"/>
        <bgColor rgb="FFFFD7D7"/>
      </patternFill>
    </fill>
    <fill>
      <patternFill patternType="solid">
        <fgColor rgb="FFFF7043"/>
        <bgColor rgb="FFFF808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1E8449"/>
        <bgColor rgb="FF008080"/>
      </patternFill>
    </fill>
    <fill>
      <patternFill patternType="solid">
        <fgColor rgb="FFB7770D"/>
        <bgColor rgb="FFFF7043"/>
      </patternFill>
    </fill>
    <fill>
      <patternFill patternType="solid">
        <fgColor rgb="FFC0392B"/>
        <bgColor rgb="FF993366"/>
      </patternFill>
    </fill>
    <fill>
      <patternFill patternType="solid">
        <fgColor rgb="FFF9F9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C00000"/>
      <rgbColor rgb="FF008000"/>
      <rgbColor rgb="FF000080"/>
      <rgbColor rgb="FFB7770D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0FB"/>
      <rgbColor rgb="FFD5F5E3"/>
      <rgbColor rgb="FFFEF9E7"/>
      <rgbColor rgb="FFC6EFCE"/>
      <rgbColor rgb="FFFFD7D7"/>
      <rgbColor rgb="FFFCE4D6"/>
      <rgbColor rgb="FFFFD966"/>
      <rgbColor rgb="FF2E75B6"/>
      <rgbColor rgb="FF33CCCC"/>
      <rgbColor rgb="FF99CC00"/>
      <rgbColor rgb="FFF9F9F9"/>
      <rgbColor rgb="FFFF9900"/>
      <rgbColor rgb="FFFF7043"/>
      <rgbColor rgb="FF666699"/>
      <rgbColor rgb="FF70AD47"/>
      <rgbColor rgb="FF1F3864"/>
      <rgbColor rgb="FF1E8449"/>
      <rgbColor rgb="FF003300"/>
      <rgbColor rgb="FF1A1A1A"/>
      <rgbColor rgb="FFC0392B"/>
      <rgbColor rgb="FF993366"/>
      <rgbColor rgb="FF2E405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4" min="3" style="1" width="16"/>
    <col collapsed="false" customWidth="true" hidden="false" outlineLevel="0" max="5" min="5" style="0" width="6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6" t="s">
        <v>4</v>
      </c>
      <c r="C5" s="6"/>
      <c r="D5" s="6"/>
    </row>
    <row r="6" customFormat="false" ht="21.75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21.75" hidden="false" customHeight="true" outlineLevel="0" collapsed="false">
      <c r="A7" s="5" t="s">
        <v>7</v>
      </c>
      <c r="B7" s="6" t="s">
        <v>8</v>
      </c>
      <c r="C7" s="6"/>
      <c r="D7" s="6"/>
    </row>
    <row r="8" customFormat="false" ht="21.75" hidden="false" customHeight="true" outlineLevel="0" collapsed="false">
      <c r="A8" s="5" t="s">
        <v>9</v>
      </c>
      <c r="B8" s="6" t="s">
        <v>10</v>
      </c>
      <c r="C8" s="6"/>
      <c r="D8" s="6"/>
    </row>
    <row r="10" customFormat="false" ht="19.5" hidden="false" customHeight="true" outlineLevel="0" collapsed="false">
      <c r="A10" s="4" t="s">
        <v>11</v>
      </c>
      <c r="B10" s="4"/>
      <c r="C10" s="4"/>
      <c r="D10" s="4"/>
    </row>
    <row r="11" customFormat="false" ht="19.5" hidden="false" customHeight="true" outlineLevel="0" collapsed="false">
      <c r="A11" s="5" t="s">
        <v>12</v>
      </c>
      <c r="B11" s="6" t="s">
        <v>13</v>
      </c>
      <c r="C11" s="6"/>
      <c r="D11" s="6"/>
    </row>
    <row r="12" customFormat="false" ht="19.5" hidden="false" customHeight="true" outlineLevel="0" collapsed="false">
      <c r="A12" s="5"/>
      <c r="B12" s="6"/>
      <c r="C12" s="6"/>
      <c r="D12" s="6"/>
    </row>
    <row r="13" customFormat="false" ht="19.5" hidden="false" customHeight="true" outlineLevel="0" collapsed="false">
      <c r="A13" s="5"/>
      <c r="B13" s="6"/>
      <c r="C13" s="6"/>
      <c r="D13" s="6"/>
    </row>
    <row r="14" customFormat="false" ht="19.5" hidden="false" customHeight="true" outlineLevel="0" collapsed="false">
      <c r="A14" s="5"/>
      <c r="B14" s="6"/>
      <c r="C14" s="6"/>
      <c r="D14" s="6"/>
    </row>
    <row r="15" customFormat="false" ht="19.5" hidden="false" customHeight="true" outlineLevel="0" collapsed="false">
      <c r="A15" s="5" t="s">
        <v>14</v>
      </c>
      <c r="B15" s="6" t="s">
        <v>15</v>
      </c>
      <c r="C15" s="6"/>
      <c r="D15" s="6"/>
    </row>
    <row r="16" customFormat="false" ht="19.5" hidden="false" customHeight="true" outlineLevel="0" collapsed="false">
      <c r="A16" s="5"/>
      <c r="B16" s="6"/>
      <c r="C16" s="6"/>
      <c r="D16" s="6"/>
    </row>
    <row r="17" customFormat="false" ht="19.5" hidden="false" customHeight="true" outlineLevel="0" collapsed="false">
      <c r="A17" s="5"/>
      <c r="B17" s="6"/>
      <c r="C17" s="6"/>
      <c r="D17" s="6"/>
    </row>
    <row r="18" customFormat="false" ht="19.5" hidden="false" customHeight="true" outlineLevel="0" collapsed="false">
      <c r="A18" s="5"/>
      <c r="B18" s="6"/>
      <c r="C18" s="6"/>
      <c r="D18" s="6"/>
    </row>
    <row r="19" customFormat="false" ht="19.5" hidden="false" customHeight="true" outlineLevel="0" collapsed="false">
      <c r="A19" s="5" t="s">
        <v>16</v>
      </c>
      <c r="B19" s="6" t="s">
        <v>17</v>
      </c>
      <c r="C19" s="6"/>
      <c r="D19" s="6"/>
    </row>
    <row r="20" customFormat="false" ht="19.5" hidden="false" customHeight="true" outlineLevel="0" collapsed="false">
      <c r="A20" s="5"/>
      <c r="B20" s="6"/>
      <c r="C20" s="6"/>
      <c r="D20" s="6"/>
    </row>
    <row r="22" customFormat="false" ht="19.5" hidden="false" customHeight="true" outlineLevel="0" collapsed="false">
      <c r="A22" s="7" t="s">
        <v>18</v>
      </c>
      <c r="B22" s="7"/>
      <c r="C22" s="7"/>
      <c r="D22" s="7"/>
    </row>
    <row r="23" customFormat="false" ht="19.5" hidden="false" customHeight="true" outlineLevel="0" collapsed="false">
      <c r="A23" s="8" t="s">
        <v>19</v>
      </c>
      <c r="B23" s="8" t="s">
        <v>20</v>
      </c>
      <c r="C23" s="8" t="s">
        <v>21</v>
      </c>
      <c r="D23" s="8" t="s">
        <v>22</v>
      </c>
    </row>
    <row r="24" customFormat="false" ht="19.5" hidden="false" customHeight="true" outlineLevel="0" collapsed="false">
      <c r="A24" s="9" t="s">
        <v>23</v>
      </c>
      <c r="B24" s="10" t="s">
        <v>24</v>
      </c>
      <c r="C24" s="11" t="n">
        <v>3</v>
      </c>
      <c r="D24" s="12" t="s">
        <v>25</v>
      </c>
      <c r="E24" s="13" t="s">
        <v>26</v>
      </c>
    </row>
    <row r="25" customFormat="false" ht="19.5" hidden="false" customHeight="true" outlineLevel="0" collapsed="false">
      <c r="A25" s="9"/>
      <c r="B25" s="9"/>
      <c r="C25" s="11"/>
      <c r="D25" s="12"/>
    </row>
    <row r="26" customFormat="false" ht="19.5" hidden="false" customHeight="true" outlineLevel="0" collapsed="false">
      <c r="A26" s="9"/>
      <c r="B26" s="9"/>
      <c r="C26" s="11"/>
      <c r="D26" s="12"/>
    </row>
    <row r="27" customFormat="false" ht="19.5" hidden="false" customHeight="true" outlineLevel="0" collapsed="false">
      <c r="A27" s="14" t="s">
        <v>27</v>
      </c>
      <c r="B27" s="15" t="s">
        <v>28</v>
      </c>
      <c r="C27" s="16" t="n">
        <v>2</v>
      </c>
      <c r="D27" s="17" t="s">
        <v>29</v>
      </c>
      <c r="E27" s="13" t="s">
        <v>30</v>
      </c>
    </row>
    <row r="28" customFormat="false" ht="19.5" hidden="false" customHeight="true" outlineLevel="0" collapsed="false">
      <c r="A28" s="14"/>
      <c r="B28" s="14"/>
      <c r="C28" s="16"/>
      <c r="D28" s="17"/>
    </row>
    <row r="29" customFormat="false" ht="19.5" hidden="false" customHeight="true" outlineLevel="0" collapsed="false">
      <c r="A29" s="14"/>
      <c r="B29" s="14"/>
      <c r="C29" s="16"/>
      <c r="D29" s="17"/>
    </row>
    <row r="30" customFormat="false" ht="19.5" hidden="false" customHeight="true" outlineLevel="0" collapsed="false">
      <c r="A30" s="18" t="s">
        <v>31</v>
      </c>
      <c r="B30" s="19" t="s">
        <v>32</v>
      </c>
      <c r="C30" s="11" t="n">
        <v>3</v>
      </c>
      <c r="D30" s="20" t="s">
        <v>33</v>
      </c>
      <c r="E30" s="13" t="s">
        <v>34</v>
      </c>
    </row>
    <row r="31" customFormat="false" ht="19.5" hidden="false" customHeight="true" outlineLevel="0" collapsed="false">
      <c r="A31" s="18"/>
      <c r="B31" s="18"/>
      <c r="C31" s="11"/>
      <c r="D31" s="20"/>
    </row>
    <row r="32" customFormat="false" ht="19.5" hidden="false" customHeight="true" outlineLevel="0" collapsed="false">
      <c r="A32" s="18"/>
      <c r="B32" s="18"/>
      <c r="C32" s="11"/>
      <c r="D32" s="20"/>
    </row>
    <row r="33" customFormat="false" ht="19.5" hidden="false" customHeight="true" outlineLevel="0" collapsed="false">
      <c r="A33" s="21" t="s">
        <v>35</v>
      </c>
      <c r="B33" s="22" t="s">
        <v>36</v>
      </c>
      <c r="C33" s="16" t="n">
        <v>2</v>
      </c>
      <c r="D33" s="23" t="s">
        <v>37</v>
      </c>
      <c r="E33" s="13" t="s">
        <v>38</v>
      </c>
    </row>
    <row r="34" customFormat="false" ht="19.5" hidden="false" customHeight="true" outlineLevel="0" collapsed="false">
      <c r="A34" s="21"/>
      <c r="B34" s="21"/>
      <c r="C34" s="16"/>
      <c r="D34" s="23"/>
    </row>
    <row r="35" customFormat="false" ht="19.5" hidden="false" customHeight="true" outlineLevel="0" collapsed="false">
      <c r="A35" s="21"/>
      <c r="B35" s="21"/>
      <c r="C35" s="16"/>
      <c r="D35" s="23"/>
    </row>
    <row r="37" customFormat="false" ht="19.5" hidden="false" customHeight="true" outlineLevel="0" collapsed="false">
      <c r="A37" s="24" t="s">
        <v>39</v>
      </c>
      <c r="B37" s="24"/>
      <c r="C37" s="24"/>
      <c r="D37" s="24"/>
    </row>
    <row r="38" customFormat="false" ht="21.75" hidden="false" customHeight="true" outlineLevel="0" collapsed="false">
      <c r="A38" s="5" t="s">
        <v>40</v>
      </c>
      <c r="B38" s="6" t="s">
        <v>41</v>
      </c>
      <c r="C38" s="6"/>
      <c r="D38" s="6"/>
    </row>
    <row r="39" customFormat="false" ht="21.75" hidden="false" customHeight="true" outlineLevel="0" collapsed="false">
      <c r="A39" s="5"/>
      <c r="B39" s="6"/>
      <c r="C39" s="6"/>
      <c r="D39" s="6"/>
    </row>
    <row r="40" customFormat="false" ht="21.75" hidden="false" customHeight="true" outlineLevel="0" collapsed="false">
      <c r="A40" s="5"/>
      <c r="B40" s="6"/>
      <c r="C40" s="6"/>
      <c r="D40" s="6"/>
    </row>
    <row r="42" customFormat="false" ht="19.5" hidden="false" customHeight="true" outlineLevel="0" collapsed="false">
      <c r="A42" s="7" t="s">
        <v>42</v>
      </c>
      <c r="B42" s="7"/>
      <c r="C42" s="7"/>
      <c r="D42" s="7"/>
    </row>
    <row r="43" customFormat="false" ht="19.5" hidden="false" customHeight="true" outlineLevel="0" collapsed="false">
      <c r="A43" s="25" t="s">
        <v>43</v>
      </c>
      <c r="B43" s="25"/>
      <c r="C43" s="25"/>
      <c r="D43" s="26" t="n">
        <f aca="false">IF(ISNUMBER(C24),C24*0.4,"")</f>
        <v>1.2</v>
      </c>
    </row>
    <row r="44" customFormat="false" ht="19.5" hidden="false" customHeight="true" outlineLevel="0" collapsed="false">
      <c r="A44" s="25" t="s">
        <v>44</v>
      </c>
      <c r="B44" s="25"/>
      <c r="C44" s="25"/>
      <c r="D44" s="27" t="n">
        <f aca="false">IF(ISNUMBER(C27),C27*0.25,"")</f>
        <v>0.5</v>
      </c>
    </row>
    <row r="45" customFormat="false" ht="19.5" hidden="false" customHeight="true" outlineLevel="0" collapsed="false">
      <c r="A45" s="25" t="s">
        <v>45</v>
      </c>
      <c r="B45" s="25"/>
      <c r="C45" s="25"/>
      <c r="D45" s="28" t="n">
        <f aca="false">IF(ISNUMBER(C30),C30*0.2,"")</f>
        <v>0.6</v>
      </c>
    </row>
    <row r="46" customFormat="false" ht="19.5" hidden="false" customHeight="true" outlineLevel="0" collapsed="false">
      <c r="A46" s="25" t="s">
        <v>46</v>
      </c>
      <c r="B46" s="25"/>
      <c r="C46" s="25"/>
      <c r="D46" s="29" t="n">
        <f aca="false">IF(ISNUMBER(C33),C33*0.15,"")</f>
        <v>0.3</v>
      </c>
    </row>
    <row r="47" customFormat="false" ht="21.75" hidden="false" customHeight="true" outlineLevel="0" collapsed="false">
      <c r="A47" s="5" t="s">
        <v>47</v>
      </c>
      <c r="B47" s="5"/>
      <c r="C47" s="5"/>
      <c r="D47" s="30" t="str">
        <f aca="false">IF(OR(C24=1,C30=1),"⛔  FALHA CRÍTICA — BLOQUEADO","✅  Sem bloqueio automático")</f>
        <v>✅  Sem bloqueio automático</v>
      </c>
    </row>
    <row r="48" customFormat="false" ht="25.5" hidden="false" customHeight="true" outlineLevel="0" collapsed="false">
      <c r="A48" s="31" t="s">
        <v>48</v>
      </c>
      <c r="B48" s="31"/>
      <c r="C48" s="31"/>
      <c r="D48" s="32" t="n">
        <f aca="false">IF(AND(ISNUMBER(C24),ISNUMBER(C27),ISNUMBER(C30),ISNUMBER(C33)),C24*0.4+C27*0.25+C30*0.2+C33*0.15,"")</f>
        <v>2.6</v>
      </c>
    </row>
    <row r="49" customFormat="false" ht="25.5" hidden="false" customHeight="true" outlineLevel="0" collapsed="false">
      <c r="A49" s="33" t="s">
        <v>49</v>
      </c>
      <c r="B49" s="33"/>
      <c r="C49" s="33"/>
      <c r="D49" s="34" t="str">
        <f aca="false">IF(D48="","—",IF(OR(C24=1,C30=1),"❌ REPROVADA — FALHA CRÍTICA",IF(D48&gt;=2.5,"✅ APROVADA",IF(D48&gt;=2,"⚠️ APROVADA COM RESSALVAS",IF(D48&gt;=1.5,"🔁 REPROVADA — REVISÃO NECESSÁRIA","❌ REPROVADA — FALHA CRÍTICA")))))</f>
        <v>✅ APROVADA</v>
      </c>
    </row>
    <row r="50" customFormat="false" ht="36" hidden="false" customHeight="true" outlineLevel="0" collapsed="false">
      <c r="A50" s="33" t="s">
        <v>50</v>
      </c>
      <c r="B50" s="33"/>
      <c r="C50" s="33"/>
      <c r="D50" s="35" t="str">
        <f aca="false">IF(D48="","—",IF(OR(C24=1,C30=1),"Escalar imediatamente para revisão humana. Não usar esta resposta.",IF(D48&gt;=2.5,"Nenhuma ação necessária. Resposta pode ser liberada.",IF(D48&gt;=2,"Registrar ressalva no log. Recomendar correção antes do próximo ciclo.",IF(D48&gt;=1.5,"Devolver ao time de desenvolvimento para ajuste. Retestar.","Escalar imediatamente para revisão humana. Não usar esta resposta.")))))</f>
        <v>Nenhuma ação necessária. Resposta pode ser liberada.</v>
      </c>
    </row>
    <row r="52" customFormat="false" ht="15.75" hidden="false" customHeight="true" outlineLevel="0" collapsed="false">
      <c r="A52" s="36" t="s">
        <v>51</v>
      </c>
      <c r="B52" s="36"/>
      <c r="C52" s="36"/>
      <c r="D52" s="36"/>
    </row>
  </sheetData>
  <mergeCells count="44">
    <mergeCell ref="A1:D1"/>
    <mergeCell ref="A2:D2"/>
    <mergeCell ref="A4:D4"/>
    <mergeCell ref="B5:D5"/>
    <mergeCell ref="B6:D6"/>
    <mergeCell ref="B7:D7"/>
    <mergeCell ref="B8:D8"/>
    <mergeCell ref="A10:D10"/>
    <mergeCell ref="A11:A14"/>
    <mergeCell ref="B11:D14"/>
    <mergeCell ref="A15:A18"/>
    <mergeCell ref="B15:D18"/>
    <mergeCell ref="A19:A20"/>
    <mergeCell ref="B19:D20"/>
    <mergeCell ref="A22:D22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7:D37"/>
    <mergeCell ref="A38:A40"/>
    <mergeCell ref="B38:D40"/>
    <mergeCell ref="A42:D42"/>
    <mergeCell ref="A43:C43"/>
    <mergeCell ref="A44:C44"/>
    <mergeCell ref="A45:C45"/>
    <mergeCell ref="A46:C46"/>
    <mergeCell ref="A47:C47"/>
    <mergeCell ref="A48:C48"/>
    <mergeCell ref="A49:C49"/>
    <mergeCell ref="A50:C50"/>
    <mergeCell ref="A52:D52"/>
  </mergeCells>
  <dataValidations count="1">
    <dataValidation allowBlank="true" error="Digite 1, 2 ou 3." errorStyle="stop" errorTitle="Nota inválida" operator="between" showDropDown="false" showErrorMessage="true" showInputMessage="false" sqref="C24 C27 C30 C3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4" min="3" style="1" width="16"/>
    <col collapsed="false" customWidth="true" hidden="false" outlineLevel="0" max="5" min="5" style="0" width="6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6" t="s">
        <v>52</v>
      </c>
      <c r="C5" s="6"/>
      <c r="D5" s="6"/>
    </row>
    <row r="6" customFormat="false" ht="21.75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21.75" hidden="false" customHeight="true" outlineLevel="0" collapsed="false">
      <c r="A7" s="5" t="s">
        <v>7</v>
      </c>
      <c r="B7" s="6" t="s">
        <v>8</v>
      </c>
      <c r="C7" s="6"/>
      <c r="D7" s="6"/>
    </row>
    <row r="8" customFormat="false" ht="21.75" hidden="false" customHeight="true" outlineLevel="0" collapsed="false">
      <c r="A8" s="5" t="s">
        <v>9</v>
      </c>
      <c r="B8" s="6" t="s">
        <v>10</v>
      </c>
      <c r="C8" s="6"/>
      <c r="D8" s="6"/>
    </row>
    <row r="10" customFormat="false" ht="19.5" hidden="false" customHeight="true" outlineLevel="0" collapsed="false">
      <c r="A10" s="4" t="s">
        <v>11</v>
      </c>
      <c r="B10" s="4"/>
      <c r="C10" s="4"/>
      <c r="D10" s="4"/>
    </row>
    <row r="11" customFormat="false" ht="19.5" hidden="false" customHeight="true" outlineLevel="0" collapsed="false">
      <c r="A11" s="5" t="s">
        <v>12</v>
      </c>
      <c r="B11" s="6" t="s">
        <v>53</v>
      </c>
      <c r="C11" s="6"/>
      <c r="D11" s="6"/>
    </row>
    <row r="12" customFormat="false" ht="19.5" hidden="false" customHeight="true" outlineLevel="0" collapsed="false">
      <c r="A12" s="5"/>
      <c r="B12" s="6"/>
      <c r="C12" s="6"/>
      <c r="D12" s="6"/>
    </row>
    <row r="13" customFormat="false" ht="19.5" hidden="false" customHeight="true" outlineLevel="0" collapsed="false">
      <c r="A13" s="5"/>
      <c r="B13" s="6"/>
      <c r="C13" s="6"/>
      <c r="D13" s="6"/>
    </row>
    <row r="14" customFormat="false" ht="19.5" hidden="false" customHeight="true" outlineLevel="0" collapsed="false">
      <c r="A14" s="5"/>
      <c r="B14" s="6"/>
      <c r="C14" s="6"/>
      <c r="D14" s="6"/>
    </row>
    <row r="15" customFormat="false" ht="19.5" hidden="false" customHeight="true" outlineLevel="0" collapsed="false">
      <c r="A15" s="5" t="s">
        <v>14</v>
      </c>
      <c r="B15" s="6" t="s">
        <v>54</v>
      </c>
      <c r="C15" s="6"/>
      <c r="D15" s="6"/>
    </row>
    <row r="16" customFormat="false" ht="19.5" hidden="false" customHeight="true" outlineLevel="0" collapsed="false">
      <c r="A16" s="5"/>
      <c r="B16" s="6"/>
      <c r="C16" s="6"/>
      <c r="D16" s="6"/>
    </row>
    <row r="17" customFormat="false" ht="19.5" hidden="false" customHeight="true" outlineLevel="0" collapsed="false">
      <c r="A17" s="5"/>
      <c r="B17" s="6"/>
      <c r="C17" s="6"/>
      <c r="D17" s="6"/>
    </row>
    <row r="18" customFormat="false" ht="19.5" hidden="false" customHeight="true" outlineLevel="0" collapsed="false">
      <c r="A18" s="5"/>
      <c r="B18" s="6"/>
      <c r="C18" s="6"/>
      <c r="D18" s="6"/>
    </row>
    <row r="19" customFormat="false" ht="19.5" hidden="false" customHeight="true" outlineLevel="0" collapsed="false">
      <c r="A19" s="5" t="s">
        <v>16</v>
      </c>
      <c r="B19" s="6" t="s">
        <v>55</v>
      </c>
      <c r="C19" s="6"/>
      <c r="D19" s="6"/>
    </row>
    <row r="20" customFormat="false" ht="19.5" hidden="false" customHeight="true" outlineLevel="0" collapsed="false">
      <c r="A20" s="5"/>
      <c r="B20" s="6"/>
      <c r="C20" s="6"/>
      <c r="D20" s="6"/>
    </row>
    <row r="22" customFormat="false" ht="19.5" hidden="false" customHeight="true" outlineLevel="0" collapsed="false">
      <c r="A22" s="7" t="s">
        <v>18</v>
      </c>
      <c r="B22" s="7"/>
      <c r="C22" s="7"/>
      <c r="D22" s="7"/>
    </row>
    <row r="23" customFormat="false" ht="19.5" hidden="false" customHeight="true" outlineLevel="0" collapsed="false">
      <c r="A23" s="8" t="s">
        <v>19</v>
      </c>
      <c r="B23" s="8" t="s">
        <v>20</v>
      </c>
      <c r="C23" s="8" t="s">
        <v>21</v>
      </c>
      <c r="D23" s="8" t="s">
        <v>22</v>
      </c>
    </row>
    <row r="24" customFormat="false" ht="19.5" hidden="false" customHeight="true" outlineLevel="0" collapsed="false">
      <c r="A24" s="9" t="s">
        <v>23</v>
      </c>
      <c r="B24" s="10" t="s">
        <v>24</v>
      </c>
      <c r="C24" s="16" t="n">
        <v>2</v>
      </c>
      <c r="D24" s="12" t="s">
        <v>25</v>
      </c>
      <c r="E24" s="13" t="s">
        <v>56</v>
      </c>
    </row>
    <row r="25" customFormat="false" ht="19.5" hidden="false" customHeight="true" outlineLevel="0" collapsed="false">
      <c r="A25" s="9"/>
      <c r="B25" s="9"/>
      <c r="C25" s="16"/>
      <c r="D25" s="12"/>
    </row>
    <row r="26" customFormat="false" ht="19.5" hidden="false" customHeight="true" outlineLevel="0" collapsed="false">
      <c r="A26" s="9"/>
      <c r="B26" s="9"/>
      <c r="C26" s="16"/>
      <c r="D26" s="12"/>
    </row>
    <row r="27" customFormat="false" ht="19.5" hidden="false" customHeight="true" outlineLevel="0" collapsed="false">
      <c r="A27" s="14" t="s">
        <v>27</v>
      </c>
      <c r="B27" s="15" t="s">
        <v>28</v>
      </c>
      <c r="C27" s="11" t="n">
        <v>3</v>
      </c>
      <c r="D27" s="17" t="s">
        <v>29</v>
      </c>
      <c r="E27" s="13" t="s">
        <v>57</v>
      </c>
    </row>
    <row r="28" customFormat="false" ht="19.5" hidden="false" customHeight="true" outlineLevel="0" collapsed="false">
      <c r="A28" s="14"/>
      <c r="B28" s="14"/>
      <c r="C28" s="11"/>
      <c r="D28" s="17"/>
    </row>
    <row r="29" customFormat="false" ht="19.5" hidden="false" customHeight="true" outlineLevel="0" collapsed="false">
      <c r="A29" s="14"/>
      <c r="B29" s="14"/>
      <c r="C29" s="11"/>
      <c r="D29" s="17"/>
    </row>
    <row r="30" customFormat="false" ht="19.5" hidden="false" customHeight="true" outlineLevel="0" collapsed="false">
      <c r="A30" s="18" t="s">
        <v>31</v>
      </c>
      <c r="B30" s="19" t="s">
        <v>32</v>
      </c>
      <c r="C30" s="16" t="n">
        <v>2</v>
      </c>
      <c r="D30" s="20" t="s">
        <v>33</v>
      </c>
      <c r="E30" s="13" t="s">
        <v>58</v>
      </c>
    </row>
    <row r="31" customFormat="false" ht="19.5" hidden="false" customHeight="true" outlineLevel="0" collapsed="false">
      <c r="A31" s="18"/>
      <c r="B31" s="18"/>
      <c r="C31" s="16"/>
      <c r="D31" s="20"/>
    </row>
    <row r="32" customFormat="false" ht="19.5" hidden="false" customHeight="true" outlineLevel="0" collapsed="false">
      <c r="A32" s="18"/>
      <c r="B32" s="18"/>
      <c r="C32" s="16"/>
      <c r="D32" s="20"/>
    </row>
    <row r="33" customFormat="false" ht="19.5" hidden="false" customHeight="true" outlineLevel="0" collapsed="false">
      <c r="A33" s="21" t="s">
        <v>35</v>
      </c>
      <c r="B33" s="22" t="s">
        <v>36</v>
      </c>
      <c r="C33" s="16" t="n">
        <v>2</v>
      </c>
      <c r="D33" s="23" t="s">
        <v>37</v>
      </c>
      <c r="E33" s="13" t="s">
        <v>59</v>
      </c>
    </row>
    <row r="34" customFormat="false" ht="19.5" hidden="false" customHeight="true" outlineLevel="0" collapsed="false">
      <c r="A34" s="21"/>
      <c r="B34" s="21"/>
      <c r="C34" s="16"/>
      <c r="D34" s="23"/>
    </row>
    <row r="35" customFormat="false" ht="19.5" hidden="false" customHeight="true" outlineLevel="0" collapsed="false">
      <c r="A35" s="21"/>
      <c r="B35" s="21"/>
      <c r="C35" s="16"/>
      <c r="D35" s="23"/>
    </row>
    <row r="37" customFormat="false" ht="19.5" hidden="false" customHeight="true" outlineLevel="0" collapsed="false">
      <c r="A37" s="24" t="s">
        <v>39</v>
      </c>
      <c r="B37" s="24"/>
      <c r="C37" s="24"/>
      <c r="D37" s="24"/>
    </row>
    <row r="38" customFormat="false" ht="21.75" hidden="false" customHeight="true" outlineLevel="0" collapsed="false">
      <c r="A38" s="5" t="s">
        <v>40</v>
      </c>
      <c r="B38" s="6" t="s">
        <v>41</v>
      </c>
      <c r="C38" s="6"/>
      <c r="D38" s="6"/>
    </row>
    <row r="39" customFormat="false" ht="21.75" hidden="false" customHeight="true" outlineLevel="0" collapsed="false">
      <c r="A39" s="5"/>
      <c r="B39" s="6"/>
      <c r="C39" s="6"/>
      <c r="D39" s="6"/>
    </row>
    <row r="40" customFormat="false" ht="21.75" hidden="false" customHeight="true" outlineLevel="0" collapsed="false">
      <c r="A40" s="5"/>
      <c r="B40" s="6"/>
      <c r="C40" s="6"/>
      <c r="D40" s="6"/>
    </row>
    <row r="42" customFormat="false" ht="19.5" hidden="false" customHeight="true" outlineLevel="0" collapsed="false">
      <c r="A42" s="7" t="s">
        <v>42</v>
      </c>
      <c r="B42" s="7"/>
      <c r="C42" s="7"/>
      <c r="D42" s="7"/>
    </row>
    <row r="43" customFormat="false" ht="19.5" hidden="false" customHeight="true" outlineLevel="0" collapsed="false">
      <c r="A43" s="25" t="s">
        <v>43</v>
      </c>
      <c r="B43" s="25"/>
      <c r="C43" s="25"/>
      <c r="D43" s="26" t="n">
        <f aca="false">IF(ISNUMBER(C24),C24*0.4,"")</f>
        <v>0.8</v>
      </c>
    </row>
    <row r="44" customFormat="false" ht="19.5" hidden="false" customHeight="true" outlineLevel="0" collapsed="false">
      <c r="A44" s="25" t="s">
        <v>44</v>
      </c>
      <c r="B44" s="25"/>
      <c r="C44" s="25"/>
      <c r="D44" s="27" t="n">
        <f aca="false">IF(ISNUMBER(C27),C27*0.25,"")</f>
        <v>0.75</v>
      </c>
    </row>
    <row r="45" customFormat="false" ht="19.5" hidden="false" customHeight="true" outlineLevel="0" collapsed="false">
      <c r="A45" s="25" t="s">
        <v>45</v>
      </c>
      <c r="B45" s="25"/>
      <c r="C45" s="25"/>
      <c r="D45" s="28" t="n">
        <f aca="false">IF(ISNUMBER(C30),C30*0.2,"")</f>
        <v>0.4</v>
      </c>
    </row>
    <row r="46" customFormat="false" ht="19.5" hidden="false" customHeight="true" outlineLevel="0" collapsed="false">
      <c r="A46" s="25" t="s">
        <v>46</v>
      </c>
      <c r="B46" s="25"/>
      <c r="C46" s="25"/>
      <c r="D46" s="29" t="n">
        <f aca="false">IF(ISNUMBER(C33),C33*0.15,"")</f>
        <v>0.3</v>
      </c>
    </row>
    <row r="47" customFormat="false" ht="21.75" hidden="false" customHeight="true" outlineLevel="0" collapsed="false">
      <c r="A47" s="5" t="s">
        <v>47</v>
      </c>
      <c r="B47" s="5"/>
      <c r="C47" s="5"/>
      <c r="D47" s="30" t="str">
        <f aca="false">IF(OR(C24=1,C30=1),"⛔  FALHA CRÍTICA — BLOQUEADO","✅  Sem bloqueio automático")</f>
        <v>✅  Sem bloqueio automático</v>
      </c>
    </row>
    <row r="48" customFormat="false" ht="25.5" hidden="false" customHeight="true" outlineLevel="0" collapsed="false">
      <c r="A48" s="31" t="s">
        <v>48</v>
      </c>
      <c r="B48" s="31"/>
      <c r="C48" s="31"/>
      <c r="D48" s="32" t="n">
        <f aca="false">IF(AND(ISNUMBER(C24),ISNUMBER(C27),ISNUMBER(C30),ISNUMBER(C33)),C24*0.4+C27*0.25+C30*0.2+C33*0.15,"")</f>
        <v>2.25</v>
      </c>
    </row>
    <row r="49" customFormat="false" ht="25.5" hidden="false" customHeight="true" outlineLevel="0" collapsed="false">
      <c r="A49" s="33" t="s">
        <v>49</v>
      </c>
      <c r="B49" s="33"/>
      <c r="C49" s="33"/>
      <c r="D49" s="34" t="str">
        <f aca="false">IF(D48="","—",IF(OR(C24=1,C30=1),"❌ REPROVADA — FALHA CRÍTICA",IF(D48&gt;=2.5,"✅ APROVADA",IF(D48&gt;=2,"⚠️ APROVADA COM RESSALVAS",IF(D48&gt;=1.5,"🔁 REPROVADA — REVISÃO NECESSÁRIA","❌ REPROVADA — FALHA CRÍTICA")))))</f>
        <v>⚠️ APROVADA COM RESSALVAS</v>
      </c>
    </row>
    <row r="50" customFormat="false" ht="36" hidden="false" customHeight="true" outlineLevel="0" collapsed="false">
      <c r="A50" s="33" t="s">
        <v>50</v>
      </c>
      <c r="B50" s="33"/>
      <c r="C50" s="33"/>
      <c r="D50" s="35" t="str">
        <f aca="false">IF(D48="","—",IF(OR(C24=1,C30=1),"Escalar imediatamente para revisão humana. Não usar esta resposta.",IF(D48&gt;=2.5,"Nenhuma ação necessária. Resposta pode ser liberada.",IF(D48&gt;=2,"Registrar ressalva no log. Recomendar correção antes do próximo ciclo.",IF(D48&gt;=1.5,"Devolver ao time de desenvolvimento para ajuste. Retestar.","Escalar imediatamente para revisão humana. Não usar esta resposta.")))))</f>
        <v>Registrar ressalva no log. Recomendar correção antes do próximo ciclo.</v>
      </c>
    </row>
    <row r="52" customFormat="false" ht="15.75" hidden="false" customHeight="true" outlineLevel="0" collapsed="false">
      <c r="A52" s="36" t="s">
        <v>51</v>
      </c>
      <c r="B52" s="36"/>
      <c r="C52" s="36"/>
      <c r="D52" s="36"/>
    </row>
  </sheetData>
  <mergeCells count="44">
    <mergeCell ref="A1:D1"/>
    <mergeCell ref="A2:D2"/>
    <mergeCell ref="A4:D4"/>
    <mergeCell ref="B5:D5"/>
    <mergeCell ref="B6:D6"/>
    <mergeCell ref="B7:D7"/>
    <mergeCell ref="B8:D8"/>
    <mergeCell ref="A10:D10"/>
    <mergeCell ref="A11:A14"/>
    <mergeCell ref="B11:D14"/>
    <mergeCell ref="A15:A18"/>
    <mergeCell ref="B15:D18"/>
    <mergeCell ref="A19:A20"/>
    <mergeCell ref="B19:D20"/>
    <mergeCell ref="A22:D22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7:D37"/>
    <mergeCell ref="A38:A40"/>
    <mergeCell ref="B38:D40"/>
    <mergeCell ref="A42:D42"/>
    <mergeCell ref="A43:C43"/>
    <mergeCell ref="A44:C44"/>
    <mergeCell ref="A45:C45"/>
    <mergeCell ref="A46:C46"/>
    <mergeCell ref="A47:C47"/>
    <mergeCell ref="A48:C48"/>
    <mergeCell ref="A49:C49"/>
    <mergeCell ref="A50:C50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4" min="3" style="1" width="16"/>
    <col collapsed="false" customWidth="true" hidden="false" outlineLevel="0" max="5" min="5" style="0" width="6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6" t="s">
        <v>60</v>
      </c>
      <c r="C5" s="6"/>
      <c r="D5" s="6"/>
    </row>
    <row r="6" customFormat="false" ht="21.75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21.75" hidden="false" customHeight="true" outlineLevel="0" collapsed="false">
      <c r="A7" s="5" t="s">
        <v>7</v>
      </c>
      <c r="B7" s="6" t="s">
        <v>8</v>
      </c>
      <c r="C7" s="6"/>
      <c r="D7" s="6"/>
    </row>
    <row r="8" customFormat="false" ht="21.75" hidden="false" customHeight="true" outlineLevel="0" collapsed="false">
      <c r="A8" s="5" t="s">
        <v>9</v>
      </c>
      <c r="B8" s="6" t="s">
        <v>10</v>
      </c>
      <c r="C8" s="6"/>
      <c r="D8" s="6"/>
    </row>
    <row r="10" customFormat="false" ht="19.5" hidden="false" customHeight="true" outlineLevel="0" collapsed="false">
      <c r="A10" s="4" t="s">
        <v>11</v>
      </c>
      <c r="B10" s="4"/>
      <c r="C10" s="4"/>
      <c r="D10" s="4"/>
    </row>
    <row r="11" customFormat="false" ht="19.5" hidden="false" customHeight="true" outlineLevel="0" collapsed="false">
      <c r="A11" s="5" t="s">
        <v>12</v>
      </c>
      <c r="B11" s="6" t="s">
        <v>61</v>
      </c>
      <c r="C11" s="6"/>
      <c r="D11" s="6"/>
    </row>
    <row r="12" customFormat="false" ht="19.5" hidden="false" customHeight="true" outlineLevel="0" collapsed="false">
      <c r="A12" s="5"/>
      <c r="B12" s="6"/>
      <c r="C12" s="6"/>
      <c r="D12" s="6"/>
    </row>
    <row r="13" customFormat="false" ht="19.5" hidden="false" customHeight="true" outlineLevel="0" collapsed="false">
      <c r="A13" s="5"/>
      <c r="B13" s="6"/>
      <c r="C13" s="6"/>
      <c r="D13" s="6"/>
    </row>
    <row r="14" customFormat="false" ht="19.5" hidden="false" customHeight="true" outlineLevel="0" collapsed="false">
      <c r="A14" s="5"/>
      <c r="B14" s="6"/>
      <c r="C14" s="6"/>
      <c r="D14" s="6"/>
    </row>
    <row r="15" customFormat="false" ht="19.5" hidden="false" customHeight="true" outlineLevel="0" collapsed="false">
      <c r="A15" s="5" t="s">
        <v>14</v>
      </c>
      <c r="B15" s="6" t="s">
        <v>62</v>
      </c>
      <c r="C15" s="6"/>
      <c r="D15" s="6"/>
    </row>
    <row r="16" customFormat="false" ht="19.5" hidden="false" customHeight="true" outlineLevel="0" collapsed="false">
      <c r="A16" s="5"/>
      <c r="B16" s="6"/>
      <c r="C16" s="6"/>
      <c r="D16" s="6"/>
    </row>
    <row r="17" customFormat="false" ht="19.5" hidden="false" customHeight="true" outlineLevel="0" collapsed="false">
      <c r="A17" s="5"/>
      <c r="B17" s="6"/>
      <c r="C17" s="6"/>
      <c r="D17" s="6"/>
    </row>
    <row r="18" customFormat="false" ht="19.5" hidden="false" customHeight="true" outlineLevel="0" collapsed="false">
      <c r="A18" s="5"/>
      <c r="B18" s="6"/>
      <c r="C18" s="6"/>
      <c r="D18" s="6"/>
    </row>
    <row r="19" customFormat="false" ht="19.5" hidden="false" customHeight="true" outlineLevel="0" collapsed="false">
      <c r="A19" s="5" t="s">
        <v>16</v>
      </c>
      <c r="B19" s="6" t="s">
        <v>17</v>
      </c>
      <c r="C19" s="6"/>
      <c r="D19" s="6"/>
    </row>
    <row r="20" customFormat="false" ht="19.5" hidden="false" customHeight="true" outlineLevel="0" collapsed="false">
      <c r="A20" s="5"/>
      <c r="B20" s="6"/>
      <c r="C20" s="6"/>
      <c r="D20" s="6"/>
    </row>
    <row r="22" customFormat="false" ht="19.5" hidden="false" customHeight="true" outlineLevel="0" collapsed="false">
      <c r="A22" s="7" t="s">
        <v>18</v>
      </c>
      <c r="B22" s="7"/>
      <c r="C22" s="7"/>
      <c r="D22" s="7"/>
    </row>
    <row r="23" customFormat="false" ht="19.5" hidden="false" customHeight="true" outlineLevel="0" collapsed="false">
      <c r="A23" s="8" t="s">
        <v>19</v>
      </c>
      <c r="B23" s="8" t="s">
        <v>20</v>
      </c>
      <c r="C23" s="8" t="s">
        <v>21</v>
      </c>
      <c r="D23" s="8" t="s">
        <v>22</v>
      </c>
    </row>
    <row r="24" customFormat="false" ht="19.5" hidden="false" customHeight="true" outlineLevel="0" collapsed="false">
      <c r="A24" s="9" t="s">
        <v>23</v>
      </c>
      <c r="B24" s="10" t="s">
        <v>24</v>
      </c>
      <c r="C24" s="37" t="n">
        <v>1</v>
      </c>
      <c r="D24" s="12" t="s">
        <v>25</v>
      </c>
      <c r="E24" s="13" t="s">
        <v>63</v>
      </c>
    </row>
    <row r="25" customFormat="false" ht="19.5" hidden="false" customHeight="true" outlineLevel="0" collapsed="false">
      <c r="A25" s="9"/>
      <c r="B25" s="9"/>
      <c r="C25" s="37"/>
      <c r="D25" s="12"/>
    </row>
    <row r="26" customFormat="false" ht="19.5" hidden="false" customHeight="true" outlineLevel="0" collapsed="false">
      <c r="A26" s="9"/>
      <c r="B26" s="9"/>
      <c r="C26" s="37"/>
      <c r="D26" s="12"/>
    </row>
    <row r="27" customFormat="false" ht="19.5" hidden="false" customHeight="true" outlineLevel="0" collapsed="false">
      <c r="A27" s="14" t="s">
        <v>27</v>
      </c>
      <c r="B27" s="15" t="s">
        <v>28</v>
      </c>
      <c r="C27" s="16" t="n">
        <v>2</v>
      </c>
      <c r="D27" s="17" t="s">
        <v>29</v>
      </c>
      <c r="E27" s="13" t="s">
        <v>64</v>
      </c>
    </row>
    <row r="28" customFormat="false" ht="19.5" hidden="false" customHeight="true" outlineLevel="0" collapsed="false">
      <c r="A28" s="14"/>
      <c r="B28" s="14"/>
      <c r="C28" s="16"/>
      <c r="D28" s="17"/>
    </row>
    <row r="29" customFormat="false" ht="19.5" hidden="false" customHeight="true" outlineLevel="0" collapsed="false">
      <c r="A29" s="14"/>
      <c r="B29" s="14"/>
      <c r="C29" s="16"/>
      <c r="D29" s="17"/>
    </row>
    <row r="30" customFormat="false" ht="19.5" hidden="false" customHeight="true" outlineLevel="0" collapsed="false">
      <c r="A30" s="18" t="s">
        <v>31</v>
      </c>
      <c r="B30" s="19" t="s">
        <v>32</v>
      </c>
      <c r="C30" s="37" t="n">
        <v>1</v>
      </c>
      <c r="D30" s="20" t="s">
        <v>33</v>
      </c>
      <c r="E30" s="13" t="s">
        <v>65</v>
      </c>
    </row>
    <row r="31" customFormat="false" ht="19.5" hidden="false" customHeight="true" outlineLevel="0" collapsed="false">
      <c r="A31" s="18"/>
      <c r="B31" s="18"/>
      <c r="C31" s="37"/>
      <c r="D31" s="20"/>
    </row>
    <row r="32" customFormat="false" ht="19.5" hidden="false" customHeight="true" outlineLevel="0" collapsed="false">
      <c r="A32" s="18"/>
      <c r="B32" s="18"/>
      <c r="C32" s="37"/>
      <c r="D32" s="20"/>
    </row>
    <row r="33" customFormat="false" ht="19.5" hidden="false" customHeight="true" outlineLevel="0" collapsed="false">
      <c r="A33" s="21" t="s">
        <v>35</v>
      </c>
      <c r="B33" s="22" t="s">
        <v>36</v>
      </c>
      <c r="C33" s="37" t="n">
        <v>1</v>
      </c>
      <c r="D33" s="23" t="s">
        <v>37</v>
      </c>
      <c r="E33" s="13" t="s">
        <v>66</v>
      </c>
    </row>
    <row r="34" customFormat="false" ht="19.5" hidden="false" customHeight="true" outlineLevel="0" collapsed="false">
      <c r="A34" s="21"/>
      <c r="B34" s="21"/>
      <c r="C34" s="37"/>
      <c r="D34" s="23"/>
    </row>
    <row r="35" customFormat="false" ht="19.5" hidden="false" customHeight="true" outlineLevel="0" collapsed="false">
      <c r="A35" s="21"/>
      <c r="B35" s="21"/>
      <c r="C35" s="37"/>
      <c r="D35" s="23"/>
    </row>
    <row r="37" customFormat="false" ht="19.5" hidden="false" customHeight="true" outlineLevel="0" collapsed="false">
      <c r="A37" s="24" t="s">
        <v>39</v>
      </c>
      <c r="B37" s="24"/>
      <c r="C37" s="24"/>
      <c r="D37" s="24"/>
    </row>
    <row r="38" customFormat="false" ht="21.75" hidden="false" customHeight="true" outlineLevel="0" collapsed="false">
      <c r="A38" s="5" t="s">
        <v>40</v>
      </c>
      <c r="B38" s="6" t="s">
        <v>41</v>
      </c>
      <c r="C38" s="6"/>
      <c r="D38" s="6"/>
    </row>
    <row r="39" customFormat="false" ht="21.75" hidden="false" customHeight="true" outlineLevel="0" collapsed="false">
      <c r="A39" s="5"/>
      <c r="B39" s="6"/>
      <c r="C39" s="6"/>
      <c r="D39" s="6"/>
    </row>
    <row r="40" customFormat="false" ht="21.75" hidden="false" customHeight="true" outlineLevel="0" collapsed="false">
      <c r="A40" s="5"/>
      <c r="B40" s="6"/>
      <c r="C40" s="6"/>
      <c r="D40" s="6"/>
    </row>
    <row r="42" customFormat="false" ht="19.5" hidden="false" customHeight="true" outlineLevel="0" collapsed="false">
      <c r="A42" s="7" t="s">
        <v>42</v>
      </c>
      <c r="B42" s="7"/>
      <c r="C42" s="7"/>
      <c r="D42" s="7"/>
    </row>
    <row r="43" customFormat="false" ht="19.5" hidden="false" customHeight="true" outlineLevel="0" collapsed="false">
      <c r="A43" s="25" t="s">
        <v>43</v>
      </c>
      <c r="B43" s="25"/>
      <c r="C43" s="25"/>
      <c r="D43" s="26" t="n">
        <f aca="false">IF(ISNUMBER(C24),C24*0.4,"")</f>
        <v>0.4</v>
      </c>
    </row>
    <row r="44" customFormat="false" ht="19.5" hidden="false" customHeight="true" outlineLevel="0" collapsed="false">
      <c r="A44" s="25" t="s">
        <v>44</v>
      </c>
      <c r="B44" s="25"/>
      <c r="C44" s="25"/>
      <c r="D44" s="27" t="n">
        <f aca="false">IF(ISNUMBER(C27),C27*0.25,"")</f>
        <v>0.5</v>
      </c>
    </row>
    <row r="45" customFormat="false" ht="19.5" hidden="false" customHeight="true" outlineLevel="0" collapsed="false">
      <c r="A45" s="25" t="s">
        <v>45</v>
      </c>
      <c r="B45" s="25"/>
      <c r="C45" s="25"/>
      <c r="D45" s="28" t="n">
        <f aca="false">IF(ISNUMBER(C30),C30*0.2,"")</f>
        <v>0.2</v>
      </c>
    </row>
    <row r="46" customFormat="false" ht="19.5" hidden="false" customHeight="true" outlineLevel="0" collapsed="false">
      <c r="A46" s="25" t="s">
        <v>46</v>
      </c>
      <c r="B46" s="25"/>
      <c r="C46" s="25"/>
      <c r="D46" s="29" t="n">
        <f aca="false">IF(ISNUMBER(C33),C33*0.15,"")</f>
        <v>0.15</v>
      </c>
    </row>
    <row r="47" customFormat="false" ht="21.75" hidden="false" customHeight="true" outlineLevel="0" collapsed="false">
      <c r="A47" s="5" t="s">
        <v>47</v>
      </c>
      <c r="B47" s="5"/>
      <c r="C47" s="5"/>
      <c r="D47" s="30" t="str">
        <f aca="false">IF(OR(C24=1,C30=1),"⛔  FALHA CRÍTICA — BLOQUEADO","✅  Sem bloqueio automático")</f>
        <v>⛔  FALHA CRÍTICA — BLOQUEADO</v>
      </c>
    </row>
    <row r="48" customFormat="false" ht="25.5" hidden="false" customHeight="true" outlineLevel="0" collapsed="false">
      <c r="A48" s="31" t="s">
        <v>48</v>
      </c>
      <c r="B48" s="31"/>
      <c r="C48" s="31"/>
      <c r="D48" s="32" t="n">
        <f aca="false">IF(AND(ISNUMBER(C24),ISNUMBER(C27),ISNUMBER(C30),ISNUMBER(C33)),C24*0.4+C27*0.25+C30*0.2+C33*0.15,"")</f>
        <v>1.25</v>
      </c>
    </row>
    <row r="49" customFormat="false" ht="25.5" hidden="false" customHeight="true" outlineLevel="0" collapsed="false">
      <c r="A49" s="33" t="s">
        <v>49</v>
      </c>
      <c r="B49" s="33"/>
      <c r="C49" s="33"/>
      <c r="D49" s="34" t="str">
        <f aca="false">IF(D48="","—",IF(OR(C24=1,C30=1),"❌ REPROVADA — FALHA CRÍTICA",IF(D48&gt;=2.5,"✅ APROVADA",IF(D48&gt;=2,"⚠️ APROVADA COM RESSALVAS",IF(D48&gt;=1.5,"🔁 REPROVADA — REVISÃO NECESSÁRIA","❌ REPROVADA — FALHA CRÍTICA")))))</f>
        <v>❌ REPROVADA — FALHA CRÍTICA</v>
      </c>
    </row>
    <row r="50" customFormat="false" ht="36" hidden="false" customHeight="true" outlineLevel="0" collapsed="false">
      <c r="A50" s="33" t="s">
        <v>50</v>
      </c>
      <c r="B50" s="33"/>
      <c r="C50" s="33"/>
      <c r="D50" s="35" t="str">
        <f aca="false">IF(D48="","—",IF(OR(C24=1,C30=1),"Escalar imediatamente para revisão humana. Não usar esta resposta.",IF(D48&gt;=2.5,"Nenhuma ação necessária. Resposta pode ser liberada.",IF(D48&gt;=2,"Registrar ressalva no log. Recomendar correção antes do próximo ciclo.",IF(D48&gt;=1.5,"Devolver ao time de desenvolvimento para ajuste. Retestar.","Escalar imediatamente para revisão humana. Não usar esta resposta.")))))</f>
        <v>Escalar imediatamente para revisão humana. Não usar esta resposta.</v>
      </c>
    </row>
    <row r="52" customFormat="false" ht="15.75" hidden="false" customHeight="true" outlineLevel="0" collapsed="false">
      <c r="A52" s="36" t="s">
        <v>51</v>
      </c>
      <c r="B52" s="36"/>
      <c r="C52" s="36"/>
      <c r="D52" s="36"/>
    </row>
  </sheetData>
  <mergeCells count="44">
    <mergeCell ref="A1:D1"/>
    <mergeCell ref="A2:D2"/>
    <mergeCell ref="A4:D4"/>
    <mergeCell ref="B5:D5"/>
    <mergeCell ref="B6:D6"/>
    <mergeCell ref="B7:D7"/>
    <mergeCell ref="B8:D8"/>
    <mergeCell ref="A10:D10"/>
    <mergeCell ref="A11:A14"/>
    <mergeCell ref="B11:D14"/>
    <mergeCell ref="A15:A18"/>
    <mergeCell ref="B15:D18"/>
    <mergeCell ref="A19:A20"/>
    <mergeCell ref="B19:D20"/>
    <mergeCell ref="A22:D22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7:D37"/>
    <mergeCell ref="A38:A40"/>
    <mergeCell ref="B38:D40"/>
    <mergeCell ref="A42:D42"/>
    <mergeCell ref="A43:C43"/>
    <mergeCell ref="A44:C44"/>
    <mergeCell ref="A45:C45"/>
    <mergeCell ref="A46:C46"/>
    <mergeCell ref="A47:C47"/>
    <mergeCell ref="A48:C48"/>
    <mergeCell ref="A49:C49"/>
    <mergeCell ref="A50:C50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4" min="3" style="1" width="16"/>
    <col collapsed="false" customWidth="true" hidden="false" outlineLevel="0" max="5" min="5" style="0" width="6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6" t="s">
        <v>67</v>
      </c>
      <c r="C5" s="6"/>
      <c r="D5" s="6"/>
    </row>
    <row r="6" customFormat="false" ht="21.75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21.75" hidden="false" customHeight="true" outlineLevel="0" collapsed="false">
      <c r="A7" s="5" t="s">
        <v>7</v>
      </c>
      <c r="B7" s="6" t="s">
        <v>8</v>
      </c>
      <c r="C7" s="6"/>
      <c r="D7" s="6"/>
    </row>
    <row r="8" customFormat="false" ht="21.75" hidden="false" customHeight="true" outlineLevel="0" collapsed="false">
      <c r="A8" s="5" t="s">
        <v>9</v>
      </c>
      <c r="B8" s="6" t="s">
        <v>10</v>
      </c>
      <c r="C8" s="6"/>
      <c r="D8" s="6"/>
    </row>
    <row r="10" customFormat="false" ht="19.5" hidden="false" customHeight="true" outlineLevel="0" collapsed="false">
      <c r="A10" s="4" t="s">
        <v>11</v>
      </c>
      <c r="B10" s="4"/>
      <c r="C10" s="4"/>
      <c r="D10" s="4"/>
    </row>
    <row r="11" customFormat="false" ht="19.5" hidden="false" customHeight="true" outlineLevel="0" collapsed="false">
      <c r="A11" s="5" t="s">
        <v>12</v>
      </c>
      <c r="B11" s="6" t="s">
        <v>68</v>
      </c>
      <c r="C11" s="6"/>
      <c r="D11" s="6"/>
    </row>
    <row r="12" customFormat="false" ht="19.5" hidden="false" customHeight="true" outlineLevel="0" collapsed="false">
      <c r="A12" s="5"/>
      <c r="B12" s="6"/>
      <c r="C12" s="6"/>
      <c r="D12" s="6"/>
    </row>
    <row r="13" customFormat="false" ht="19.5" hidden="false" customHeight="true" outlineLevel="0" collapsed="false">
      <c r="A13" s="5"/>
      <c r="B13" s="6"/>
      <c r="C13" s="6"/>
      <c r="D13" s="6"/>
    </row>
    <row r="14" customFormat="false" ht="19.5" hidden="false" customHeight="true" outlineLevel="0" collapsed="false">
      <c r="A14" s="5"/>
      <c r="B14" s="6"/>
      <c r="C14" s="6"/>
      <c r="D14" s="6"/>
    </row>
    <row r="15" customFormat="false" ht="19.5" hidden="false" customHeight="true" outlineLevel="0" collapsed="false">
      <c r="A15" s="5" t="s">
        <v>14</v>
      </c>
      <c r="B15" s="6" t="s">
        <v>69</v>
      </c>
      <c r="C15" s="6"/>
      <c r="D15" s="6"/>
    </row>
    <row r="16" customFormat="false" ht="19.5" hidden="false" customHeight="true" outlineLevel="0" collapsed="false">
      <c r="A16" s="5"/>
      <c r="B16" s="6"/>
      <c r="C16" s="6"/>
      <c r="D16" s="6"/>
    </row>
    <row r="17" customFormat="false" ht="19.5" hidden="false" customHeight="true" outlineLevel="0" collapsed="false">
      <c r="A17" s="5"/>
      <c r="B17" s="6"/>
      <c r="C17" s="6"/>
      <c r="D17" s="6"/>
    </row>
    <row r="18" customFormat="false" ht="19.5" hidden="false" customHeight="true" outlineLevel="0" collapsed="false">
      <c r="A18" s="5"/>
      <c r="B18" s="6"/>
      <c r="C18" s="6"/>
      <c r="D18" s="6"/>
    </row>
    <row r="19" customFormat="false" ht="19.5" hidden="false" customHeight="true" outlineLevel="0" collapsed="false">
      <c r="A19" s="5" t="s">
        <v>16</v>
      </c>
      <c r="B19" s="6" t="s">
        <v>70</v>
      </c>
      <c r="C19" s="6"/>
      <c r="D19" s="6"/>
    </row>
    <row r="20" customFormat="false" ht="19.5" hidden="false" customHeight="true" outlineLevel="0" collapsed="false">
      <c r="A20" s="5"/>
      <c r="B20" s="6"/>
      <c r="C20" s="6"/>
      <c r="D20" s="6"/>
    </row>
    <row r="22" customFormat="false" ht="19.5" hidden="false" customHeight="true" outlineLevel="0" collapsed="false">
      <c r="A22" s="7" t="s">
        <v>18</v>
      </c>
      <c r="B22" s="7"/>
      <c r="C22" s="7"/>
      <c r="D22" s="7"/>
    </row>
    <row r="23" customFormat="false" ht="19.5" hidden="false" customHeight="true" outlineLevel="0" collapsed="false">
      <c r="A23" s="8" t="s">
        <v>19</v>
      </c>
      <c r="B23" s="8" t="s">
        <v>20</v>
      </c>
      <c r="C23" s="8" t="s">
        <v>21</v>
      </c>
      <c r="D23" s="8" t="s">
        <v>22</v>
      </c>
    </row>
    <row r="24" customFormat="false" ht="19.5" hidden="false" customHeight="true" outlineLevel="0" collapsed="false">
      <c r="A24" s="9" t="s">
        <v>23</v>
      </c>
      <c r="B24" s="10" t="s">
        <v>24</v>
      </c>
      <c r="C24" s="37" t="n">
        <v>1</v>
      </c>
      <c r="D24" s="12" t="s">
        <v>25</v>
      </c>
      <c r="E24" s="13" t="s">
        <v>71</v>
      </c>
    </row>
    <row r="25" customFormat="false" ht="19.5" hidden="false" customHeight="true" outlineLevel="0" collapsed="false">
      <c r="A25" s="9"/>
      <c r="B25" s="9"/>
      <c r="C25" s="37"/>
      <c r="D25" s="12"/>
    </row>
    <row r="26" customFormat="false" ht="19.5" hidden="false" customHeight="true" outlineLevel="0" collapsed="false">
      <c r="A26" s="9"/>
      <c r="B26" s="9"/>
      <c r="C26" s="37"/>
      <c r="D26" s="12"/>
    </row>
    <row r="27" customFormat="false" ht="19.5" hidden="false" customHeight="true" outlineLevel="0" collapsed="false">
      <c r="A27" s="14" t="s">
        <v>27</v>
      </c>
      <c r="B27" s="15" t="s">
        <v>28</v>
      </c>
      <c r="C27" s="37" t="n">
        <v>1</v>
      </c>
      <c r="D27" s="17" t="s">
        <v>29</v>
      </c>
      <c r="E27" s="13" t="s">
        <v>72</v>
      </c>
    </row>
    <row r="28" customFormat="false" ht="19.5" hidden="false" customHeight="true" outlineLevel="0" collapsed="false">
      <c r="A28" s="14"/>
      <c r="B28" s="14"/>
      <c r="C28" s="37"/>
      <c r="D28" s="17"/>
    </row>
    <row r="29" customFormat="false" ht="19.5" hidden="false" customHeight="true" outlineLevel="0" collapsed="false">
      <c r="A29" s="14"/>
      <c r="B29" s="14"/>
      <c r="C29" s="37"/>
      <c r="D29" s="17"/>
    </row>
    <row r="30" customFormat="false" ht="19.5" hidden="false" customHeight="true" outlineLevel="0" collapsed="false">
      <c r="A30" s="18" t="s">
        <v>31</v>
      </c>
      <c r="B30" s="19" t="s">
        <v>32</v>
      </c>
      <c r="C30" s="37" t="n">
        <v>1</v>
      </c>
      <c r="D30" s="20" t="s">
        <v>33</v>
      </c>
      <c r="E30" s="13" t="s">
        <v>73</v>
      </c>
    </row>
    <row r="31" customFormat="false" ht="19.5" hidden="false" customHeight="true" outlineLevel="0" collapsed="false">
      <c r="A31" s="18"/>
      <c r="B31" s="18"/>
      <c r="C31" s="37"/>
      <c r="D31" s="20"/>
    </row>
    <row r="32" customFormat="false" ht="19.5" hidden="false" customHeight="true" outlineLevel="0" collapsed="false">
      <c r="A32" s="18"/>
      <c r="B32" s="18"/>
      <c r="C32" s="37"/>
      <c r="D32" s="20"/>
    </row>
    <row r="33" customFormat="false" ht="19.5" hidden="false" customHeight="true" outlineLevel="0" collapsed="false">
      <c r="A33" s="21" t="s">
        <v>35</v>
      </c>
      <c r="B33" s="22" t="s">
        <v>36</v>
      </c>
      <c r="C33" s="37" t="n">
        <v>1</v>
      </c>
      <c r="D33" s="23" t="s">
        <v>37</v>
      </c>
      <c r="E33" s="13" t="s">
        <v>74</v>
      </c>
    </row>
    <row r="34" customFormat="false" ht="19.5" hidden="false" customHeight="true" outlineLevel="0" collapsed="false">
      <c r="A34" s="21"/>
      <c r="B34" s="21"/>
      <c r="C34" s="37"/>
      <c r="D34" s="23"/>
    </row>
    <row r="35" customFormat="false" ht="19.5" hidden="false" customHeight="true" outlineLevel="0" collapsed="false">
      <c r="A35" s="21"/>
      <c r="B35" s="21"/>
      <c r="C35" s="37"/>
      <c r="D35" s="23"/>
    </row>
    <row r="37" customFormat="false" ht="19.5" hidden="false" customHeight="true" outlineLevel="0" collapsed="false">
      <c r="A37" s="24" t="s">
        <v>39</v>
      </c>
      <c r="B37" s="24"/>
      <c r="C37" s="24"/>
      <c r="D37" s="24"/>
    </row>
    <row r="38" customFormat="false" ht="21.75" hidden="false" customHeight="true" outlineLevel="0" collapsed="false">
      <c r="A38" s="5" t="s">
        <v>40</v>
      </c>
      <c r="B38" s="6" t="s">
        <v>41</v>
      </c>
      <c r="C38" s="6"/>
      <c r="D38" s="6"/>
    </row>
    <row r="39" customFormat="false" ht="21.75" hidden="false" customHeight="true" outlineLevel="0" collapsed="false">
      <c r="A39" s="5"/>
      <c r="B39" s="6"/>
      <c r="C39" s="6"/>
      <c r="D39" s="6"/>
    </row>
    <row r="40" customFormat="false" ht="21.75" hidden="false" customHeight="true" outlineLevel="0" collapsed="false">
      <c r="A40" s="5"/>
      <c r="B40" s="6"/>
      <c r="C40" s="6"/>
      <c r="D40" s="6"/>
    </row>
    <row r="42" customFormat="false" ht="19.5" hidden="false" customHeight="true" outlineLevel="0" collapsed="false">
      <c r="A42" s="7" t="s">
        <v>42</v>
      </c>
      <c r="B42" s="7"/>
      <c r="C42" s="7"/>
      <c r="D42" s="7"/>
    </row>
    <row r="43" customFormat="false" ht="19.5" hidden="false" customHeight="true" outlineLevel="0" collapsed="false">
      <c r="A43" s="25" t="s">
        <v>43</v>
      </c>
      <c r="B43" s="25"/>
      <c r="C43" s="25"/>
      <c r="D43" s="26" t="n">
        <f aca="false">IF(ISNUMBER(C24),C24*0.4,"")</f>
        <v>0.4</v>
      </c>
    </row>
    <row r="44" customFormat="false" ht="19.5" hidden="false" customHeight="true" outlineLevel="0" collapsed="false">
      <c r="A44" s="25" t="s">
        <v>44</v>
      </c>
      <c r="B44" s="25"/>
      <c r="C44" s="25"/>
      <c r="D44" s="27" t="n">
        <f aca="false">IF(ISNUMBER(C27),C27*0.25,"")</f>
        <v>0.25</v>
      </c>
    </row>
    <row r="45" customFormat="false" ht="19.5" hidden="false" customHeight="true" outlineLevel="0" collapsed="false">
      <c r="A45" s="25" t="s">
        <v>45</v>
      </c>
      <c r="B45" s="25"/>
      <c r="C45" s="25"/>
      <c r="D45" s="28" t="n">
        <f aca="false">IF(ISNUMBER(C30),C30*0.2,"")</f>
        <v>0.2</v>
      </c>
    </row>
    <row r="46" customFormat="false" ht="19.5" hidden="false" customHeight="true" outlineLevel="0" collapsed="false">
      <c r="A46" s="25" t="s">
        <v>46</v>
      </c>
      <c r="B46" s="25"/>
      <c r="C46" s="25"/>
      <c r="D46" s="29" t="n">
        <f aca="false">IF(ISNUMBER(C33),C33*0.15,"")</f>
        <v>0.15</v>
      </c>
    </row>
    <row r="47" customFormat="false" ht="21.75" hidden="false" customHeight="true" outlineLevel="0" collapsed="false">
      <c r="A47" s="5" t="s">
        <v>47</v>
      </c>
      <c r="B47" s="5"/>
      <c r="C47" s="5"/>
      <c r="D47" s="30" t="str">
        <f aca="false">IF(OR(C24=1,C30=1),"⛔  FALHA CRÍTICA — BLOQUEADO","✅  Sem bloqueio automático")</f>
        <v>⛔  FALHA CRÍTICA — BLOQUEADO</v>
      </c>
    </row>
    <row r="48" customFormat="false" ht="25.5" hidden="false" customHeight="true" outlineLevel="0" collapsed="false">
      <c r="A48" s="31" t="s">
        <v>48</v>
      </c>
      <c r="B48" s="31"/>
      <c r="C48" s="31"/>
      <c r="D48" s="32" t="n">
        <f aca="false">IF(AND(ISNUMBER(C24),ISNUMBER(C27),ISNUMBER(C30),ISNUMBER(C33)),C24*0.4+C27*0.25+C30*0.2+C33*0.15,"")</f>
        <v>1</v>
      </c>
    </row>
    <row r="49" customFormat="false" ht="25.5" hidden="false" customHeight="true" outlineLevel="0" collapsed="false">
      <c r="A49" s="33" t="s">
        <v>49</v>
      </c>
      <c r="B49" s="33"/>
      <c r="C49" s="33"/>
      <c r="D49" s="34" t="str">
        <f aca="false">IF(D48="","—",IF(OR(C24=1,C30=1),"❌ REPROVADA — FALHA CRÍTICA",IF(D48&gt;=2.5,"✅ APROVADA",IF(D48&gt;=2,"⚠️ APROVADA COM RESSALVAS",IF(D48&gt;=1.5,"🔁 REPROVADA — REVISÃO NECESSÁRIA","❌ REPROVADA — FALHA CRÍTICA")))))</f>
        <v>❌ REPROVADA — FALHA CRÍTICA</v>
      </c>
    </row>
    <row r="50" customFormat="false" ht="36" hidden="false" customHeight="true" outlineLevel="0" collapsed="false">
      <c r="A50" s="33" t="s">
        <v>50</v>
      </c>
      <c r="B50" s="33"/>
      <c r="C50" s="33"/>
      <c r="D50" s="35" t="str">
        <f aca="false">IF(D48="","—",IF(OR(C24=1,C30=1),"Escalar imediatamente para revisão humana. Não usar esta resposta.",IF(D48&gt;=2.5,"Nenhuma ação necessária. Resposta pode ser liberada.",IF(D48&gt;=2,"Registrar ressalva no log. Recomendar correção antes do próximo ciclo.",IF(D48&gt;=1.5,"Devolver ao time de desenvolvimento para ajuste. Retestar.","Escalar imediatamente para revisão humana. Não usar esta resposta.")))))</f>
        <v>Escalar imediatamente para revisão humana. Não usar esta resposta.</v>
      </c>
    </row>
    <row r="52" customFormat="false" ht="15.75" hidden="false" customHeight="true" outlineLevel="0" collapsed="false">
      <c r="A52" s="36" t="s">
        <v>51</v>
      </c>
      <c r="B52" s="36"/>
      <c r="C52" s="36"/>
      <c r="D52" s="36"/>
    </row>
  </sheetData>
  <mergeCells count="44">
    <mergeCell ref="A1:D1"/>
    <mergeCell ref="A2:D2"/>
    <mergeCell ref="A4:D4"/>
    <mergeCell ref="B5:D5"/>
    <mergeCell ref="B6:D6"/>
    <mergeCell ref="B7:D7"/>
    <mergeCell ref="B8:D8"/>
    <mergeCell ref="A10:D10"/>
    <mergeCell ref="A11:A14"/>
    <mergeCell ref="B11:D14"/>
    <mergeCell ref="A15:A18"/>
    <mergeCell ref="B15:D18"/>
    <mergeCell ref="A19:A20"/>
    <mergeCell ref="B19:D20"/>
    <mergeCell ref="A22:D22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7:D37"/>
    <mergeCell ref="A38:A40"/>
    <mergeCell ref="B38:D40"/>
    <mergeCell ref="A42:D42"/>
    <mergeCell ref="A43:C43"/>
    <mergeCell ref="A44:C44"/>
    <mergeCell ref="A45:C45"/>
    <mergeCell ref="A46:C46"/>
    <mergeCell ref="A47:C47"/>
    <mergeCell ref="A48:C48"/>
    <mergeCell ref="A49:C49"/>
    <mergeCell ref="A50:C50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4" min="3" style="1" width="16"/>
    <col collapsed="false" customWidth="true" hidden="false" outlineLevel="0" max="5" min="5" style="0" width="6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6" t="s">
        <v>75</v>
      </c>
      <c r="C5" s="6"/>
      <c r="D5" s="6"/>
    </row>
    <row r="6" customFormat="false" ht="21.75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21.75" hidden="false" customHeight="true" outlineLevel="0" collapsed="false">
      <c r="A7" s="5" t="s">
        <v>7</v>
      </c>
      <c r="B7" s="6" t="s">
        <v>8</v>
      </c>
      <c r="C7" s="6"/>
      <c r="D7" s="6"/>
    </row>
    <row r="8" customFormat="false" ht="21.75" hidden="false" customHeight="true" outlineLevel="0" collapsed="false">
      <c r="A8" s="5" t="s">
        <v>9</v>
      </c>
      <c r="B8" s="6" t="s">
        <v>10</v>
      </c>
      <c r="C8" s="6"/>
      <c r="D8" s="6"/>
    </row>
    <row r="10" customFormat="false" ht="19.5" hidden="false" customHeight="true" outlineLevel="0" collapsed="false">
      <c r="A10" s="4" t="s">
        <v>11</v>
      </c>
      <c r="B10" s="4"/>
      <c r="C10" s="4"/>
      <c r="D10" s="4"/>
    </row>
    <row r="11" customFormat="false" ht="19.5" hidden="false" customHeight="true" outlineLevel="0" collapsed="false">
      <c r="A11" s="5" t="s">
        <v>12</v>
      </c>
      <c r="B11" s="6" t="s">
        <v>76</v>
      </c>
      <c r="C11" s="6"/>
      <c r="D11" s="6"/>
    </row>
    <row r="12" customFormat="false" ht="19.5" hidden="false" customHeight="true" outlineLevel="0" collapsed="false">
      <c r="A12" s="5"/>
      <c r="B12" s="6"/>
      <c r="C12" s="6"/>
      <c r="D12" s="6"/>
    </row>
    <row r="13" customFormat="false" ht="19.5" hidden="false" customHeight="true" outlineLevel="0" collapsed="false">
      <c r="A13" s="5"/>
      <c r="B13" s="6"/>
      <c r="C13" s="6"/>
      <c r="D13" s="6"/>
    </row>
    <row r="14" customFormat="false" ht="19.5" hidden="false" customHeight="true" outlineLevel="0" collapsed="false">
      <c r="A14" s="5"/>
      <c r="B14" s="6"/>
      <c r="C14" s="6"/>
      <c r="D14" s="6"/>
    </row>
    <row r="15" customFormat="false" ht="19.5" hidden="false" customHeight="true" outlineLevel="0" collapsed="false">
      <c r="A15" s="5" t="s">
        <v>14</v>
      </c>
      <c r="B15" s="6" t="s">
        <v>77</v>
      </c>
      <c r="C15" s="6"/>
      <c r="D15" s="6"/>
    </row>
    <row r="16" customFormat="false" ht="19.5" hidden="false" customHeight="true" outlineLevel="0" collapsed="false">
      <c r="A16" s="5"/>
      <c r="B16" s="6"/>
      <c r="C16" s="6"/>
      <c r="D16" s="6"/>
    </row>
    <row r="17" customFormat="false" ht="19.5" hidden="false" customHeight="true" outlineLevel="0" collapsed="false">
      <c r="A17" s="5"/>
      <c r="B17" s="6"/>
      <c r="C17" s="6"/>
      <c r="D17" s="6"/>
    </row>
    <row r="18" customFormat="false" ht="19.5" hidden="false" customHeight="true" outlineLevel="0" collapsed="false">
      <c r="A18" s="5"/>
      <c r="B18" s="6"/>
      <c r="C18" s="6"/>
      <c r="D18" s="6"/>
    </row>
    <row r="19" customFormat="false" ht="19.5" hidden="false" customHeight="true" outlineLevel="0" collapsed="false">
      <c r="A19" s="5" t="s">
        <v>16</v>
      </c>
      <c r="B19" s="6" t="s">
        <v>55</v>
      </c>
      <c r="C19" s="6"/>
      <c r="D19" s="6"/>
    </row>
    <row r="20" customFormat="false" ht="19.5" hidden="false" customHeight="true" outlineLevel="0" collapsed="false">
      <c r="A20" s="5"/>
      <c r="B20" s="6"/>
      <c r="C20" s="6"/>
      <c r="D20" s="6"/>
    </row>
    <row r="22" customFormat="false" ht="19.5" hidden="false" customHeight="true" outlineLevel="0" collapsed="false">
      <c r="A22" s="7" t="s">
        <v>18</v>
      </c>
      <c r="B22" s="7"/>
      <c r="C22" s="7"/>
      <c r="D22" s="7"/>
    </row>
    <row r="23" customFormat="false" ht="19.5" hidden="false" customHeight="true" outlineLevel="0" collapsed="false">
      <c r="A23" s="8" t="s">
        <v>19</v>
      </c>
      <c r="B23" s="8" t="s">
        <v>20</v>
      </c>
      <c r="C23" s="8" t="s">
        <v>21</v>
      </c>
      <c r="D23" s="8" t="s">
        <v>22</v>
      </c>
    </row>
    <row r="24" customFormat="false" ht="19.5" hidden="false" customHeight="true" outlineLevel="0" collapsed="false">
      <c r="A24" s="9" t="s">
        <v>23</v>
      </c>
      <c r="B24" s="10" t="s">
        <v>24</v>
      </c>
      <c r="C24" s="16" t="n">
        <v>2</v>
      </c>
      <c r="D24" s="12" t="s">
        <v>25</v>
      </c>
      <c r="E24" s="13" t="s">
        <v>78</v>
      </c>
    </row>
    <row r="25" customFormat="false" ht="19.5" hidden="false" customHeight="true" outlineLevel="0" collapsed="false">
      <c r="A25" s="9"/>
      <c r="B25" s="9"/>
      <c r="C25" s="16"/>
      <c r="D25" s="12"/>
    </row>
    <row r="26" customFormat="false" ht="19.5" hidden="false" customHeight="true" outlineLevel="0" collapsed="false">
      <c r="A26" s="9"/>
      <c r="B26" s="9"/>
      <c r="C26" s="16"/>
      <c r="D26" s="12"/>
    </row>
    <row r="27" customFormat="false" ht="19.5" hidden="false" customHeight="true" outlineLevel="0" collapsed="false">
      <c r="A27" s="14" t="s">
        <v>27</v>
      </c>
      <c r="B27" s="15" t="s">
        <v>28</v>
      </c>
      <c r="C27" s="11" t="n">
        <v>3</v>
      </c>
      <c r="D27" s="17" t="s">
        <v>29</v>
      </c>
      <c r="E27" s="13" t="s">
        <v>79</v>
      </c>
    </row>
    <row r="28" customFormat="false" ht="19.5" hidden="false" customHeight="true" outlineLevel="0" collapsed="false">
      <c r="A28" s="14"/>
      <c r="B28" s="14"/>
      <c r="C28" s="11"/>
      <c r="D28" s="17"/>
    </row>
    <row r="29" customFormat="false" ht="19.5" hidden="false" customHeight="true" outlineLevel="0" collapsed="false">
      <c r="A29" s="14"/>
      <c r="B29" s="14"/>
      <c r="C29" s="11"/>
      <c r="D29" s="17"/>
    </row>
    <row r="30" customFormat="false" ht="19.5" hidden="false" customHeight="true" outlineLevel="0" collapsed="false">
      <c r="A30" s="18" t="s">
        <v>31</v>
      </c>
      <c r="B30" s="19" t="s">
        <v>32</v>
      </c>
      <c r="C30" s="11" t="n">
        <v>3</v>
      </c>
      <c r="D30" s="20" t="s">
        <v>33</v>
      </c>
      <c r="E30" s="13" t="s">
        <v>80</v>
      </c>
    </row>
    <row r="31" customFormat="false" ht="19.5" hidden="false" customHeight="true" outlineLevel="0" collapsed="false">
      <c r="A31" s="18"/>
      <c r="B31" s="18"/>
      <c r="C31" s="11"/>
      <c r="D31" s="20"/>
    </row>
    <row r="32" customFormat="false" ht="19.5" hidden="false" customHeight="true" outlineLevel="0" collapsed="false">
      <c r="A32" s="18"/>
      <c r="B32" s="18"/>
      <c r="C32" s="11"/>
      <c r="D32" s="20"/>
    </row>
    <row r="33" customFormat="false" ht="19.5" hidden="false" customHeight="true" outlineLevel="0" collapsed="false">
      <c r="A33" s="21" t="s">
        <v>35</v>
      </c>
      <c r="B33" s="22" t="s">
        <v>36</v>
      </c>
      <c r="C33" s="16" t="n">
        <v>2</v>
      </c>
      <c r="D33" s="23" t="s">
        <v>37</v>
      </c>
      <c r="E33" s="13" t="s">
        <v>81</v>
      </c>
    </row>
    <row r="34" customFormat="false" ht="19.5" hidden="false" customHeight="true" outlineLevel="0" collapsed="false">
      <c r="A34" s="21"/>
      <c r="B34" s="21"/>
      <c r="C34" s="16"/>
      <c r="D34" s="23"/>
    </row>
    <row r="35" customFormat="false" ht="19.5" hidden="false" customHeight="true" outlineLevel="0" collapsed="false">
      <c r="A35" s="21"/>
      <c r="B35" s="21"/>
      <c r="C35" s="16"/>
      <c r="D35" s="23"/>
    </row>
    <row r="37" customFormat="false" ht="19.5" hidden="false" customHeight="true" outlineLevel="0" collapsed="false">
      <c r="A37" s="24" t="s">
        <v>39</v>
      </c>
      <c r="B37" s="24"/>
      <c r="C37" s="24"/>
      <c r="D37" s="24"/>
    </row>
    <row r="38" customFormat="false" ht="21.75" hidden="false" customHeight="true" outlineLevel="0" collapsed="false">
      <c r="A38" s="5" t="s">
        <v>40</v>
      </c>
      <c r="B38" s="6" t="s">
        <v>41</v>
      </c>
      <c r="C38" s="6"/>
      <c r="D38" s="6"/>
    </row>
    <row r="39" customFormat="false" ht="21.75" hidden="false" customHeight="true" outlineLevel="0" collapsed="false">
      <c r="A39" s="5"/>
      <c r="B39" s="6"/>
      <c r="C39" s="6"/>
      <c r="D39" s="6"/>
    </row>
    <row r="40" customFormat="false" ht="21.75" hidden="false" customHeight="true" outlineLevel="0" collapsed="false">
      <c r="A40" s="5"/>
      <c r="B40" s="6"/>
      <c r="C40" s="6"/>
      <c r="D40" s="6"/>
    </row>
    <row r="42" customFormat="false" ht="19.5" hidden="false" customHeight="true" outlineLevel="0" collapsed="false">
      <c r="A42" s="7" t="s">
        <v>42</v>
      </c>
      <c r="B42" s="7"/>
      <c r="C42" s="7"/>
      <c r="D42" s="7"/>
    </row>
    <row r="43" customFormat="false" ht="19.5" hidden="false" customHeight="true" outlineLevel="0" collapsed="false">
      <c r="A43" s="25" t="s">
        <v>43</v>
      </c>
      <c r="B43" s="25"/>
      <c r="C43" s="25"/>
      <c r="D43" s="26" t="n">
        <f aca="false">IF(ISNUMBER(C24),C24*0.4,"")</f>
        <v>0.8</v>
      </c>
    </row>
    <row r="44" customFormat="false" ht="19.5" hidden="false" customHeight="true" outlineLevel="0" collapsed="false">
      <c r="A44" s="25" t="s">
        <v>44</v>
      </c>
      <c r="B44" s="25"/>
      <c r="C44" s="25"/>
      <c r="D44" s="27" t="n">
        <f aca="false">IF(ISNUMBER(C27),C27*0.25,"")</f>
        <v>0.75</v>
      </c>
    </row>
    <row r="45" customFormat="false" ht="19.5" hidden="false" customHeight="true" outlineLevel="0" collapsed="false">
      <c r="A45" s="25" t="s">
        <v>45</v>
      </c>
      <c r="B45" s="25"/>
      <c r="C45" s="25"/>
      <c r="D45" s="28" t="n">
        <f aca="false">IF(ISNUMBER(C30),C30*0.2,"")</f>
        <v>0.6</v>
      </c>
    </row>
    <row r="46" customFormat="false" ht="19.5" hidden="false" customHeight="true" outlineLevel="0" collapsed="false">
      <c r="A46" s="25" t="s">
        <v>46</v>
      </c>
      <c r="B46" s="25"/>
      <c r="C46" s="25"/>
      <c r="D46" s="29" t="n">
        <f aca="false">IF(ISNUMBER(C33),C33*0.15,"")</f>
        <v>0.3</v>
      </c>
    </row>
    <row r="47" customFormat="false" ht="21.75" hidden="false" customHeight="true" outlineLevel="0" collapsed="false">
      <c r="A47" s="5" t="s">
        <v>47</v>
      </c>
      <c r="B47" s="5"/>
      <c r="C47" s="5"/>
      <c r="D47" s="30" t="str">
        <f aca="false">IF(OR(C24=1,C30=1),"⛔  FALHA CRÍTICA — BLOQUEADO","✅  Sem bloqueio automático")</f>
        <v>✅  Sem bloqueio automático</v>
      </c>
    </row>
    <row r="48" customFormat="false" ht="25.5" hidden="false" customHeight="true" outlineLevel="0" collapsed="false">
      <c r="A48" s="31" t="s">
        <v>48</v>
      </c>
      <c r="B48" s="31"/>
      <c r="C48" s="31"/>
      <c r="D48" s="32" t="n">
        <f aca="false">IF(AND(ISNUMBER(C24),ISNUMBER(C27),ISNUMBER(C30),ISNUMBER(C33)),C24*0.4+C27*0.25+C30*0.2+C33*0.15,"")</f>
        <v>2.45</v>
      </c>
    </row>
    <row r="49" customFormat="false" ht="25.5" hidden="false" customHeight="true" outlineLevel="0" collapsed="false">
      <c r="A49" s="33" t="s">
        <v>49</v>
      </c>
      <c r="B49" s="33"/>
      <c r="C49" s="33"/>
      <c r="D49" s="34" t="str">
        <f aca="false">IF(D48="","—",IF(OR(C24=1,C30=1),"❌ REPROVADA — FALHA CRÍTICA",IF(D48&gt;=2.5,"✅ APROVADA",IF(D48&gt;=2,"⚠️ APROVADA COM RESSALVAS",IF(D48&gt;=1.5,"🔁 REPROVADA — REVISÃO NECESSÁRIA","❌ REPROVADA — FALHA CRÍTICA")))))</f>
        <v>⚠️ APROVADA COM RESSALVAS</v>
      </c>
    </row>
    <row r="50" customFormat="false" ht="36" hidden="false" customHeight="true" outlineLevel="0" collapsed="false">
      <c r="A50" s="33" t="s">
        <v>50</v>
      </c>
      <c r="B50" s="33"/>
      <c r="C50" s="33"/>
      <c r="D50" s="35" t="str">
        <f aca="false">IF(D48="","—",IF(OR(C24=1,C30=1),"Escalar imediatamente para revisão humana. Não usar esta resposta.",IF(D48&gt;=2.5,"Nenhuma ação necessária. Resposta pode ser liberada.",IF(D48&gt;=2,"Registrar ressalva no log. Recomendar correção antes do próximo ciclo.",IF(D48&gt;=1.5,"Devolver ao time de desenvolvimento para ajuste. Retestar.","Escalar imediatamente para revisão humana. Não usar esta resposta.")))))</f>
        <v>Registrar ressalva no log. Recomendar correção antes do próximo ciclo.</v>
      </c>
    </row>
    <row r="52" customFormat="false" ht="15.75" hidden="false" customHeight="true" outlineLevel="0" collapsed="false">
      <c r="A52" s="36" t="s">
        <v>51</v>
      </c>
      <c r="B52" s="36"/>
      <c r="C52" s="36"/>
      <c r="D52" s="36"/>
    </row>
  </sheetData>
  <mergeCells count="44">
    <mergeCell ref="A1:D1"/>
    <mergeCell ref="A2:D2"/>
    <mergeCell ref="A4:D4"/>
    <mergeCell ref="B5:D5"/>
    <mergeCell ref="B6:D6"/>
    <mergeCell ref="B7:D7"/>
    <mergeCell ref="B8:D8"/>
    <mergeCell ref="A10:D10"/>
    <mergeCell ref="A11:A14"/>
    <mergeCell ref="B11:D14"/>
    <mergeCell ref="A15:A18"/>
    <mergeCell ref="B15:D18"/>
    <mergeCell ref="A19:A20"/>
    <mergeCell ref="B19:D20"/>
    <mergeCell ref="A22:D22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7:D37"/>
    <mergeCell ref="A38:A40"/>
    <mergeCell ref="B38:D40"/>
    <mergeCell ref="A42:D42"/>
    <mergeCell ref="A43:C43"/>
    <mergeCell ref="A44:C44"/>
    <mergeCell ref="A45:C45"/>
    <mergeCell ref="A46:C46"/>
    <mergeCell ref="A47:C47"/>
    <mergeCell ref="A48:C48"/>
    <mergeCell ref="A49:C49"/>
    <mergeCell ref="A50:C50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58"/>
    <col collapsed="false" customWidth="true" hidden="false" outlineLevel="0" max="4" min="4" style="1" width="18"/>
  </cols>
  <sheetData>
    <row r="1" customFormat="false" ht="36" hidden="false" customHeight="true" outlineLevel="0" collapsed="false">
      <c r="A1" s="38" t="s">
        <v>82</v>
      </c>
      <c r="B1" s="38"/>
      <c r="C1" s="38"/>
      <c r="D1" s="38"/>
    </row>
    <row r="2" customFormat="false" ht="18" hidden="false" customHeight="true" outlineLevel="0" collapsed="false">
      <c r="A2" s="3" t="s">
        <v>83</v>
      </c>
      <c r="B2" s="3"/>
      <c r="C2" s="3"/>
      <c r="D2" s="3"/>
    </row>
    <row r="4" customFormat="false" ht="21.75" hidden="false" customHeight="true" outlineLevel="0" collapsed="false">
      <c r="A4" s="8" t="s">
        <v>84</v>
      </c>
      <c r="B4" s="8" t="s">
        <v>85</v>
      </c>
      <c r="C4" s="8" t="s">
        <v>86</v>
      </c>
      <c r="D4" s="8" t="s">
        <v>87</v>
      </c>
    </row>
    <row r="5" customFormat="false" ht="51.75" hidden="false" customHeight="true" outlineLevel="0" collapsed="false">
      <c r="A5" s="9" t="s">
        <v>23</v>
      </c>
      <c r="B5" s="39" t="s">
        <v>88</v>
      </c>
      <c r="C5" s="40" t="s">
        <v>89</v>
      </c>
      <c r="D5" s="41" t="s">
        <v>90</v>
      </c>
    </row>
    <row r="6" customFormat="false" ht="51.75" hidden="false" customHeight="true" outlineLevel="0" collapsed="false">
      <c r="A6" s="42"/>
      <c r="B6" s="39" t="s">
        <v>91</v>
      </c>
      <c r="C6" s="40" t="s">
        <v>92</v>
      </c>
      <c r="D6" s="41"/>
    </row>
    <row r="7" customFormat="false" ht="51.75" hidden="false" customHeight="true" outlineLevel="0" collapsed="false">
      <c r="A7" s="42"/>
      <c r="B7" s="39" t="s">
        <v>93</v>
      </c>
      <c r="C7" s="40" t="s">
        <v>94</v>
      </c>
      <c r="D7" s="43" t="s">
        <v>95</v>
      </c>
    </row>
    <row r="8" customFormat="false" ht="51.75" hidden="false" customHeight="true" outlineLevel="0" collapsed="false">
      <c r="A8" s="14" t="s">
        <v>27</v>
      </c>
      <c r="B8" s="44" t="s">
        <v>88</v>
      </c>
      <c r="C8" s="45" t="s">
        <v>96</v>
      </c>
      <c r="D8" s="46" t="s">
        <v>97</v>
      </c>
    </row>
    <row r="9" customFormat="false" ht="51.75" hidden="false" customHeight="true" outlineLevel="0" collapsed="false">
      <c r="A9" s="47"/>
      <c r="B9" s="44" t="s">
        <v>91</v>
      </c>
      <c r="C9" s="45" t="s">
        <v>98</v>
      </c>
      <c r="D9" s="46"/>
    </row>
    <row r="10" customFormat="false" ht="51.75" hidden="false" customHeight="true" outlineLevel="0" collapsed="false">
      <c r="A10" s="47"/>
      <c r="B10" s="44" t="s">
        <v>93</v>
      </c>
      <c r="C10" s="45" t="s">
        <v>99</v>
      </c>
      <c r="D10" s="46"/>
    </row>
    <row r="11" customFormat="false" ht="51.75" hidden="false" customHeight="true" outlineLevel="0" collapsed="false">
      <c r="A11" s="18" t="s">
        <v>100</v>
      </c>
      <c r="B11" s="48" t="s">
        <v>88</v>
      </c>
      <c r="C11" s="49" t="s">
        <v>101</v>
      </c>
      <c r="D11" s="50" t="s">
        <v>102</v>
      </c>
    </row>
    <row r="12" customFormat="false" ht="51.75" hidden="false" customHeight="true" outlineLevel="0" collapsed="false">
      <c r="A12" s="51"/>
      <c r="B12" s="48" t="s">
        <v>91</v>
      </c>
      <c r="C12" s="49" t="s">
        <v>103</v>
      </c>
      <c r="D12" s="50"/>
    </row>
    <row r="13" customFormat="false" ht="51.75" hidden="false" customHeight="true" outlineLevel="0" collapsed="false">
      <c r="A13" s="51"/>
      <c r="B13" s="48" t="s">
        <v>93</v>
      </c>
      <c r="C13" s="49" t="s">
        <v>104</v>
      </c>
      <c r="D13" s="43" t="s">
        <v>95</v>
      </c>
    </row>
    <row r="14" customFormat="false" ht="51.75" hidden="false" customHeight="true" outlineLevel="0" collapsed="false">
      <c r="A14" s="21" t="s">
        <v>35</v>
      </c>
      <c r="B14" s="52" t="s">
        <v>88</v>
      </c>
      <c r="C14" s="53" t="s">
        <v>105</v>
      </c>
      <c r="D14" s="54" t="s">
        <v>106</v>
      </c>
    </row>
    <row r="15" customFormat="false" ht="51.75" hidden="false" customHeight="true" outlineLevel="0" collapsed="false">
      <c r="A15" s="55"/>
      <c r="B15" s="52" t="s">
        <v>91</v>
      </c>
      <c r="C15" s="53" t="s">
        <v>107</v>
      </c>
      <c r="D15" s="54"/>
    </row>
    <row r="16" customFormat="false" ht="51.75" hidden="false" customHeight="true" outlineLevel="0" collapsed="false">
      <c r="A16" s="55"/>
      <c r="B16" s="52" t="s">
        <v>93</v>
      </c>
      <c r="C16" s="53" t="s">
        <v>108</v>
      </c>
      <c r="D16" s="54"/>
    </row>
    <row r="17" customFormat="false" ht="19.5" hidden="false" customHeight="true" outlineLevel="0" collapsed="false"/>
    <row r="18" customFormat="false" ht="15" hidden="false" customHeight="true" outlineLevel="0" collapsed="false">
      <c r="A18" s="7" t="s">
        <v>109</v>
      </c>
      <c r="B18" s="7"/>
      <c r="C18" s="7"/>
      <c r="D18" s="7"/>
    </row>
    <row r="19" customFormat="false" ht="33.75" hidden="false" customHeight="true" outlineLevel="0" collapsed="false">
      <c r="A19" s="18" t="s">
        <v>110</v>
      </c>
      <c r="B19" s="56"/>
      <c r="C19" s="49" t="s">
        <v>111</v>
      </c>
      <c r="D19" s="49"/>
    </row>
    <row r="20" customFormat="false" ht="33.75" hidden="false" customHeight="true" outlineLevel="0" collapsed="false">
      <c r="A20" s="18" t="s">
        <v>112</v>
      </c>
      <c r="B20" s="56"/>
      <c r="C20" s="49" t="s">
        <v>113</v>
      </c>
      <c r="D20" s="49"/>
    </row>
    <row r="21" customFormat="false" ht="33.75" hidden="false" customHeight="true" outlineLevel="0" collapsed="false">
      <c r="A21" s="18" t="s">
        <v>114</v>
      </c>
      <c r="B21" s="56"/>
      <c r="C21" s="49" t="s">
        <v>115</v>
      </c>
      <c r="D21" s="49"/>
    </row>
    <row r="22" customFormat="false" ht="33.75" hidden="false" customHeight="true" outlineLevel="0" collapsed="false">
      <c r="A22" s="18" t="s">
        <v>116</v>
      </c>
      <c r="B22" s="56"/>
      <c r="C22" s="49" t="s">
        <v>117</v>
      </c>
      <c r="D22" s="49"/>
    </row>
    <row r="24" customFormat="false" ht="15" hidden="false" customHeight="true" outlineLevel="0" collapsed="false">
      <c r="A24" s="7" t="s">
        <v>118</v>
      </c>
      <c r="B24" s="7"/>
      <c r="C24" s="7"/>
      <c r="D24" s="7"/>
    </row>
    <row r="25" customFormat="false" ht="27.75" hidden="false" customHeight="true" outlineLevel="0" collapsed="false">
      <c r="A25" s="57" t="s">
        <v>119</v>
      </c>
      <c r="B25" s="58" t="s">
        <v>120</v>
      </c>
      <c r="C25" s="58"/>
      <c r="D25" s="59" t="s">
        <v>121</v>
      </c>
    </row>
    <row r="26" customFormat="false" ht="27.75" hidden="false" customHeight="true" outlineLevel="0" collapsed="false">
      <c r="A26" s="60" t="s">
        <v>122</v>
      </c>
      <c r="B26" s="61" t="s">
        <v>123</v>
      </c>
      <c r="C26" s="61"/>
      <c r="D26" s="62" t="s">
        <v>124</v>
      </c>
    </row>
    <row r="27" customFormat="false" ht="27.75" hidden="false" customHeight="true" outlineLevel="0" collapsed="false">
      <c r="A27" s="63" t="s">
        <v>125</v>
      </c>
      <c r="B27" s="64" t="s">
        <v>126</v>
      </c>
      <c r="C27" s="64"/>
      <c r="D27" s="65" t="s">
        <v>127</v>
      </c>
    </row>
    <row r="28" customFormat="false" ht="27.75" hidden="false" customHeight="true" outlineLevel="0" collapsed="false">
      <c r="A28" s="66" t="s">
        <v>128</v>
      </c>
      <c r="B28" s="67" t="s">
        <v>129</v>
      </c>
      <c r="C28" s="67"/>
      <c r="D28" s="68" t="s">
        <v>130</v>
      </c>
    </row>
    <row r="29" customFormat="false" ht="27.75" hidden="false" customHeight="true" outlineLevel="0" collapsed="false">
      <c r="A29" s="69" t="s">
        <v>131</v>
      </c>
      <c r="B29" s="70" t="s">
        <v>132</v>
      </c>
      <c r="C29" s="70"/>
      <c r="D29" s="71" t="s">
        <v>133</v>
      </c>
    </row>
  </sheetData>
  <mergeCells count="13">
    <mergeCell ref="A1:D1"/>
    <mergeCell ref="A2:D2"/>
    <mergeCell ref="A18:D18"/>
    <mergeCell ref="C19:D19"/>
    <mergeCell ref="C20:D20"/>
    <mergeCell ref="C21:D21"/>
    <mergeCell ref="C22:D22"/>
    <mergeCell ref="A24:D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8" min="5" style="1" width="8"/>
    <col collapsed="false" customWidth="true" hidden="false" outlineLevel="0" max="9" min="9" style="1" width="14"/>
    <col collapsed="false" customWidth="true" hidden="false" outlineLevel="0" max="10" min="10" style="1" width="26"/>
    <col collapsed="false" customWidth="true" hidden="false" outlineLevel="0" max="11" min="11" style="1" width="28"/>
  </cols>
  <sheetData>
    <row r="1" customFormat="false" ht="31.5" hidden="false" customHeight="true" outlineLevel="0" collapsed="false">
      <c r="A1" s="38" t="s">
        <v>134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8" hidden="false" customHeight="true" outlineLevel="0" collapsed="false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6" hidden="false" customHeight="true" outlineLevel="0" collapsed="false">
      <c r="A3" s="8" t="s">
        <v>136</v>
      </c>
      <c r="B3" s="8" t="s">
        <v>137</v>
      </c>
      <c r="C3" s="8" t="s">
        <v>138</v>
      </c>
      <c r="D3" s="8" t="s">
        <v>139</v>
      </c>
      <c r="E3" s="8" t="s">
        <v>140</v>
      </c>
      <c r="F3" s="8" t="s">
        <v>141</v>
      </c>
      <c r="G3" s="8" t="s">
        <v>142</v>
      </c>
      <c r="H3" s="8" t="s">
        <v>143</v>
      </c>
      <c r="I3" s="8" t="s">
        <v>144</v>
      </c>
      <c r="J3" s="8" t="s">
        <v>145</v>
      </c>
      <c r="K3" s="8" t="s">
        <v>146</v>
      </c>
    </row>
    <row r="4" customFormat="false" ht="24" hidden="false" customHeight="true" outlineLevel="0" collapsed="false">
      <c r="A4" s="72" t="s">
        <v>4</v>
      </c>
      <c r="B4" s="73" t="s">
        <v>6</v>
      </c>
      <c r="C4" s="74" t="s">
        <v>8</v>
      </c>
      <c r="D4" s="73" t="s">
        <v>10</v>
      </c>
      <c r="E4" s="75" t="n">
        <v>3</v>
      </c>
      <c r="F4" s="76" t="n">
        <v>2</v>
      </c>
      <c r="G4" s="75" t="n">
        <v>3</v>
      </c>
      <c r="H4" s="76" t="n">
        <v>2</v>
      </c>
      <c r="I4" s="77" t="n">
        <v>2.6</v>
      </c>
      <c r="J4" s="78" t="s">
        <v>147</v>
      </c>
      <c r="K4" s="79" t="s">
        <v>148</v>
      </c>
    </row>
    <row r="5" customFormat="false" ht="24" hidden="false" customHeight="true" outlineLevel="0" collapsed="false">
      <c r="A5" s="72" t="s">
        <v>75</v>
      </c>
      <c r="B5" s="73" t="s">
        <v>6</v>
      </c>
      <c r="C5" s="74" t="s">
        <v>8</v>
      </c>
      <c r="D5" s="73" t="s">
        <v>10</v>
      </c>
      <c r="E5" s="76" t="n">
        <v>2</v>
      </c>
      <c r="F5" s="75" t="n">
        <v>3</v>
      </c>
      <c r="G5" s="75" t="n">
        <v>3</v>
      </c>
      <c r="H5" s="76" t="n">
        <v>2</v>
      </c>
      <c r="I5" s="77" t="n">
        <v>2.45</v>
      </c>
      <c r="J5" s="80" t="s">
        <v>149</v>
      </c>
      <c r="K5" s="79" t="s">
        <v>150</v>
      </c>
    </row>
    <row r="6" customFormat="false" ht="24" hidden="false" customHeight="true" outlineLevel="0" collapsed="false">
      <c r="A6" s="72" t="s">
        <v>67</v>
      </c>
      <c r="B6" s="73" t="s">
        <v>6</v>
      </c>
      <c r="C6" s="74" t="s">
        <v>8</v>
      </c>
      <c r="D6" s="73" t="s">
        <v>10</v>
      </c>
      <c r="E6" s="81" t="n">
        <v>1</v>
      </c>
      <c r="F6" s="81" t="n">
        <v>1</v>
      </c>
      <c r="G6" s="81" t="n">
        <v>1</v>
      </c>
      <c r="H6" s="81" t="n">
        <v>1</v>
      </c>
      <c r="I6" s="77" t="n">
        <v>1</v>
      </c>
      <c r="J6" s="82" t="s">
        <v>151</v>
      </c>
      <c r="K6" s="79" t="s">
        <v>152</v>
      </c>
    </row>
    <row r="7" customFormat="false" ht="21.75" hidden="false" customHeight="true" outlineLevel="0" collapsed="false">
      <c r="A7" s="83" t="s">
        <v>60</v>
      </c>
      <c r="B7" s="84" t="s">
        <v>6</v>
      </c>
      <c r="C7" s="84" t="s">
        <v>8</v>
      </c>
      <c r="D7" s="84" t="s">
        <v>10</v>
      </c>
      <c r="E7" s="81" t="n">
        <v>1</v>
      </c>
      <c r="F7" s="76" t="n">
        <v>2</v>
      </c>
      <c r="G7" s="81" t="n">
        <v>1</v>
      </c>
      <c r="H7" s="81" t="n">
        <v>1</v>
      </c>
      <c r="I7" s="77" t="n">
        <v>1.25</v>
      </c>
      <c r="J7" s="82" t="s">
        <v>151</v>
      </c>
      <c r="K7" s="79" t="s">
        <v>152</v>
      </c>
    </row>
    <row r="8" customFormat="false" ht="21.75" hidden="false" customHeight="true" outlineLevel="0" collapsed="false">
      <c r="A8" s="83" t="s">
        <v>52</v>
      </c>
      <c r="B8" s="84" t="s">
        <v>6</v>
      </c>
      <c r="C8" s="84" t="s">
        <v>8</v>
      </c>
      <c r="D8" s="84" t="s">
        <v>10</v>
      </c>
      <c r="E8" s="76" t="n">
        <v>2</v>
      </c>
      <c r="F8" s="75" t="n">
        <v>3</v>
      </c>
      <c r="G8" s="76" t="n">
        <v>2</v>
      </c>
      <c r="H8" s="76" t="n">
        <v>2</v>
      </c>
      <c r="I8" s="77" t="n">
        <v>2.25</v>
      </c>
      <c r="J8" s="80" t="s">
        <v>149</v>
      </c>
      <c r="K8" s="79" t="s">
        <v>150</v>
      </c>
    </row>
    <row r="9" customFormat="false" ht="21.75" hidden="false" customHeight="true" outlineLevel="0" collapsed="false">
      <c r="A9" s="84"/>
      <c r="B9" s="84"/>
      <c r="C9" s="84"/>
      <c r="D9" s="84"/>
      <c r="E9" s="85"/>
      <c r="F9" s="85"/>
      <c r="G9" s="85"/>
      <c r="H9" s="85"/>
      <c r="I9" s="86" t="str">
        <f aca="false">IF(AND(ISNUMBER(E9),ISNUMBER(F9),ISNUMBER(G9),ISNUMBER(H9)),E9*0.4+F9*0.25+G9*0.2+H9*0.15,"")</f>
        <v/>
      </c>
      <c r="J9" s="87" t="str">
        <f aca="false">IF(I9="","—",IF(OR(E9=1,G9=1),"⛔ FALHA CRÍTICA",IF(I9&gt;=2.5,"✅ APROVADA",IF(I9&gt;=2,"⚠️ APROV. RESSALVAS",IF(I9&gt;=1.5,"🔁 REPROVADA","❌ FALHA CRÍTICA")))))</f>
        <v>—</v>
      </c>
      <c r="K9" s="79" t="str">
        <f aca="false">IF(I9="","—",IF(OR(E9=1,G9=1),"Escalar imediatamente.",IF(I9&gt;=2.5,"Liberar.",IF(I9&gt;=2,"Registrar ressalva.",IF(I9&gt;=1.5,"Retestar após ajuste.","Escalar imediatamente.")))))</f>
        <v>—</v>
      </c>
    </row>
    <row r="10" customFormat="false" ht="21.75" hidden="false" customHeight="true" outlineLevel="0" collapsed="false">
      <c r="A10" s="84"/>
      <c r="B10" s="84"/>
      <c r="C10" s="84"/>
      <c r="D10" s="84"/>
      <c r="E10" s="85"/>
      <c r="F10" s="85"/>
      <c r="G10" s="85"/>
      <c r="H10" s="85"/>
      <c r="I10" s="86" t="str">
        <f aca="false">IF(AND(ISNUMBER(E10),ISNUMBER(F10),ISNUMBER(G10),ISNUMBER(H10)),E10*0.4+F10*0.25+G10*0.2+H10*0.15,"")</f>
        <v/>
      </c>
      <c r="J10" s="87" t="str">
        <f aca="false">IF(I10="","—",IF(OR(E10=1,G10=1),"⛔ FALHA CRÍTICA",IF(I10&gt;=2.5,"✅ APROVADA",IF(I10&gt;=2,"⚠️ APROV. RESSALVAS",IF(I10&gt;=1.5,"🔁 REPROVADA","❌ FALHA CRÍTICA")))))</f>
        <v>—</v>
      </c>
      <c r="K10" s="79" t="str">
        <f aca="false">IF(I10="","—",IF(OR(E10=1,G10=1),"Escalar imediatamente.",IF(I10&gt;=2.5,"Liberar.",IF(I10&gt;=2,"Registrar ressalva.",IF(I10&gt;=1.5,"Retestar após ajuste.","Escalar imediatamente.")))))</f>
        <v>—</v>
      </c>
    </row>
    <row r="11" customFormat="false" ht="21.75" hidden="false" customHeight="true" outlineLevel="0" collapsed="false">
      <c r="A11" s="84"/>
      <c r="B11" s="84"/>
      <c r="C11" s="84"/>
      <c r="D11" s="84"/>
      <c r="E11" s="85"/>
      <c r="F11" s="85"/>
      <c r="G11" s="85"/>
      <c r="H11" s="85"/>
      <c r="I11" s="86" t="str">
        <f aca="false">IF(AND(ISNUMBER(E11),ISNUMBER(F11),ISNUMBER(G11),ISNUMBER(H11)),E11*0.4+F11*0.25+G11*0.2+H11*0.15,"")</f>
        <v/>
      </c>
      <c r="J11" s="87" t="str">
        <f aca="false">IF(I11="","—",IF(OR(E11=1,G11=1),"⛔ FALHA CRÍTICA",IF(I11&gt;=2.5,"✅ APROVADA",IF(I11&gt;=2,"⚠️ APROV. RESSALVAS",IF(I11&gt;=1.5,"🔁 REPROVADA","❌ FALHA CRÍTICA")))))</f>
        <v>—</v>
      </c>
      <c r="K11" s="79" t="str">
        <f aca="false">IF(I11="","—",IF(OR(E11=1,G11=1),"Escalar imediatamente.",IF(I11&gt;=2.5,"Liberar.",IF(I11&gt;=2,"Registrar ressalva.",IF(I11&gt;=1.5,"Retestar após ajuste.","Escalar imediatamente.")))))</f>
        <v>—</v>
      </c>
    </row>
    <row r="12" customFormat="false" ht="21.75" hidden="false" customHeight="true" outlineLevel="0" collapsed="false">
      <c r="A12" s="84"/>
      <c r="B12" s="84"/>
      <c r="C12" s="84"/>
      <c r="D12" s="84"/>
      <c r="E12" s="85"/>
      <c r="F12" s="85"/>
      <c r="G12" s="85"/>
      <c r="H12" s="85"/>
      <c r="I12" s="86" t="str">
        <f aca="false">IF(AND(ISNUMBER(E12),ISNUMBER(F12),ISNUMBER(G12),ISNUMBER(H12)),E12*0.4+F12*0.25+G12*0.2+H12*0.15,"")</f>
        <v/>
      </c>
      <c r="J12" s="87" t="str">
        <f aca="false">IF(I12="","—",IF(OR(E12=1,G12=1),"⛔ FALHA CRÍTICA",IF(I12&gt;=2.5,"✅ APROVADA",IF(I12&gt;=2,"⚠️ APROV. RESSALVAS",IF(I12&gt;=1.5,"🔁 REPROVADA","❌ FALHA CRÍTICA")))))</f>
        <v>—</v>
      </c>
      <c r="K12" s="79" t="str">
        <f aca="false">IF(I12="","—",IF(OR(E12=1,G12=1),"Escalar imediatamente.",IF(I12&gt;=2.5,"Liberar.",IF(I12&gt;=2,"Registrar ressalva.",IF(I12&gt;=1.5,"Retestar após ajuste.","Escalar imediatamente.")))))</f>
        <v>—</v>
      </c>
    </row>
    <row r="13" customFormat="false" ht="21.75" hidden="false" customHeight="true" outlineLevel="0" collapsed="false">
      <c r="A13" s="84"/>
      <c r="B13" s="84"/>
      <c r="C13" s="84"/>
      <c r="D13" s="84"/>
      <c r="E13" s="85"/>
      <c r="F13" s="85"/>
      <c r="G13" s="85"/>
      <c r="H13" s="85"/>
      <c r="I13" s="86" t="str">
        <f aca="false">IF(AND(ISNUMBER(E13),ISNUMBER(F13),ISNUMBER(G13),ISNUMBER(H13)),E13*0.4+F13*0.25+G13*0.2+H13*0.15,"")</f>
        <v/>
      </c>
      <c r="J13" s="87" t="str">
        <f aca="false">IF(I13="","—",IF(OR(E13=1,G13=1),"⛔ FALHA CRÍTICA",IF(I13&gt;=2.5,"✅ APROVADA",IF(I13&gt;=2,"⚠️ APROV. RESSALVAS",IF(I13&gt;=1.5,"🔁 REPROVADA","❌ FALHA CRÍTICA")))))</f>
        <v>—</v>
      </c>
      <c r="K13" s="79" t="str">
        <f aca="false">IF(I13="","—",IF(OR(E13=1,G13=1),"Escalar imediatamente.",IF(I13&gt;=2.5,"Liberar.",IF(I13&gt;=2,"Registrar ressalva.",IF(I13&gt;=1.5,"Retestar após ajuste.","Escalar imediatamente.")))))</f>
        <v>—</v>
      </c>
    </row>
    <row r="14" customFormat="false" ht="21.75" hidden="false" customHeight="true" outlineLevel="0" collapsed="false">
      <c r="A14" s="84"/>
      <c r="B14" s="84"/>
      <c r="C14" s="84"/>
      <c r="D14" s="84"/>
      <c r="E14" s="85"/>
      <c r="F14" s="85"/>
      <c r="G14" s="85"/>
      <c r="H14" s="85"/>
      <c r="I14" s="86" t="str">
        <f aca="false">IF(AND(ISNUMBER(E14),ISNUMBER(F14),ISNUMBER(G14),ISNUMBER(H14)),E14*0.4+F14*0.25+G14*0.2+H14*0.15,"")</f>
        <v/>
      </c>
      <c r="J14" s="87" t="str">
        <f aca="false">IF(I14="","—",IF(OR(E14=1,G14=1),"⛔ FALHA CRÍTICA",IF(I14&gt;=2.5,"✅ APROVADA",IF(I14&gt;=2,"⚠️ APROV. RESSALVAS",IF(I14&gt;=1.5,"🔁 REPROVADA","❌ FALHA CRÍTICA")))))</f>
        <v>—</v>
      </c>
      <c r="K14" s="79" t="str">
        <f aca="false">IF(I14="","—",IF(OR(E14=1,G14=1),"Escalar imediatamente.",IF(I14&gt;=2.5,"Liberar.",IF(I14&gt;=2,"Registrar ressalva.",IF(I14&gt;=1.5,"Retestar após ajuste.","Escalar imediatamente.")))))</f>
        <v>—</v>
      </c>
    </row>
    <row r="15" customFormat="false" ht="21.75" hidden="false" customHeight="true" outlineLevel="0" collapsed="false">
      <c r="A15" s="84"/>
      <c r="B15" s="84"/>
      <c r="C15" s="84"/>
      <c r="D15" s="84"/>
      <c r="E15" s="85"/>
      <c r="F15" s="85"/>
      <c r="G15" s="85"/>
      <c r="H15" s="85"/>
      <c r="I15" s="86" t="str">
        <f aca="false">IF(AND(ISNUMBER(E15),ISNUMBER(F15),ISNUMBER(G15),ISNUMBER(H15)),E15*0.4+F15*0.25+G15*0.2+H15*0.15,"")</f>
        <v/>
      </c>
      <c r="J15" s="87" t="str">
        <f aca="false">IF(I15="","—",IF(OR(E15=1,G15=1),"⛔ FALHA CRÍTICA",IF(I15&gt;=2.5,"✅ APROVADA",IF(I15&gt;=2,"⚠️ APROV. RESSALVAS",IF(I15&gt;=1.5,"🔁 REPROVADA","❌ FALHA CRÍTICA")))))</f>
        <v>—</v>
      </c>
      <c r="K15" s="79" t="str">
        <f aca="false">IF(I15="","—",IF(OR(E15=1,G15=1),"Escalar imediatamente.",IF(I15&gt;=2.5,"Liberar.",IF(I15&gt;=2,"Registrar ressalva.",IF(I15&gt;=1.5,"Retestar após ajuste.","Escalar imediatamente.")))))</f>
        <v>—</v>
      </c>
    </row>
    <row r="16" customFormat="false" ht="21.75" hidden="false" customHeight="true" outlineLevel="0" collapsed="false">
      <c r="A16" s="84"/>
      <c r="B16" s="84"/>
      <c r="C16" s="84"/>
      <c r="D16" s="84"/>
      <c r="E16" s="85"/>
      <c r="F16" s="85"/>
      <c r="G16" s="85"/>
      <c r="H16" s="85"/>
      <c r="I16" s="86" t="str">
        <f aca="false">IF(AND(ISNUMBER(E16),ISNUMBER(F16),ISNUMBER(G16),ISNUMBER(H16)),E16*0.4+F16*0.25+G16*0.2+H16*0.15,"")</f>
        <v/>
      </c>
      <c r="J16" s="87" t="str">
        <f aca="false">IF(I16="","—",IF(OR(E16=1,G16=1),"⛔ FALHA CRÍTICA",IF(I16&gt;=2.5,"✅ APROVADA",IF(I16&gt;=2,"⚠️ APROV. RESSALVAS",IF(I16&gt;=1.5,"🔁 REPROVADA","❌ FALHA CRÍTICA")))))</f>
        <v>—</v>
      </c>
      <c r="K16" s="79" t="str">
        <f aca="false">IF(I16="","—",IF(OR(E16=1,G16=1),"Escalar imediatamente.",IF(I16&gt;=2.5,"Liberar.",IF(I16&gt;=2,"Registrar ressalva.",IF(I16&gt;=1.5,"Retestar após ajuste.","Escalar imediatamente.")))))</f>
        <v>—</v>
      </c>
    </row>
    <row r="17" customFormat="false" ht="21.75" hidden="false" customHeight="true" outlineLevel="0" collapsed="false">
      <c r="A17" s="84"/>
      <c r="B17" s="84"/>
      <c r="C17" s="84"/>
      <c r="D17" s="84"/>
      <c r="E17" s="85"/>
      <c r="F17" s="85"/>
      <c r="G17" s="85"/>
      <c r="H17" s="85"/>
      <c r="I17" s="86" t="str">
        <f aca="false">IF(AND(ISNUMBER(E17),ISNUMBER(F17),ISNUMBER(G17),ISNUMBER(H17)),E17*0.4+F17*0.25+G17*0.2+H17*0.15,"")</f>
        <v/>
      </c>
      <c r="J17" s="87" t="str">
        <f aca="false">IF(I17="","—",IF(OR(E17=1,G17=1),"⛔ FALHA CRÍTICA",IF(I17&gt;=2.5,"✅ APROVADA",IF(I17&gt;=2,"⚠️ APROV. RESSALVAS",IF(I17&gt;=1.5,"🔁 REPROVADA","❌ FALHA CRÍTICA")))))</f>
        <v>—</v>
      </c>
      <c r="K17" s="79" t="str">
        <f aca="false">IF(I17="","—",IF(OR(E17=1,G17=1),"Escalar imediatamente.",IF(I17&gt;=2.5,"Liberar.",IF(I17&gt;=2,"Registrar ressalva.",IF(I17&gt;=1.5,"Retestar após ajuste.","Escalar imediatamente.")))))</f>
        <v>—</v>
      </c>
    </row>
    <row r="18" customFormat="false" ht="21.75" hidden="false" customHeight="true" outlineLevel="0" collapsed="false">
      <c r="A18" s="84"/>
      <c r="B18" s="84"/>
      <c r="C18" s="84"/>
      <c r="D18" s="84"/>
      <c r="E18" s="85"/>
      <c r="F18" s="85"/>
      <c r="G18" s="85"/>
      <c r="H18" s="85"/>
      <c r="I18" s="86" t="str">
        <f aca="false">IF(AND(ISNUMBER(E18),ISNUMBER(F18),ISNUMBER(G18),ISNUMBER(H18)),E18*0.4+F18*0.25+G18*0.2+H18*0.15,"")</f>
        <v/>
      </c>
      <c r="J18" s="87" t="str">
        <f aca="false">IF(I18="","—",IF(OR(E18=1,G18=1),"⛔ FALHA CRÍTICA",IF(I18&gt;=2.5,"✅ APROVADA",IF(I18&gt;=2,"⚠️ APROV. RESSALVAS",IF(I18&gt;=1.5,"🔁 REPROVADA","❌ FALHA CRÍTICA")))))</f>
        <v>—</v>
      </c>
      <c r="K18" s="79" t="str">
        <f aca="false">IF(I18="","—",IF(OR(E18=1,G18=1),"Escalar imediatamente.",IF(I18&gt;=2.5,"Liberar.",IF(I18&gt;=2,"Registrar ressalva.",IF(I18&gt;=1.5,"Retestar após ajuste.","Escalar imediatamente.")))))</f>
        <v>—</v>
      </c>
    </row>
    <row r="19" customFormat="false" ht="21.75" hidden="false" customHeight="true" outlineLevel="0" collapsed="false">
      <c r="A19" s="84"/>
      <c r="B19" s="84"/>
      <c r="C19" s="84"/>
      <c r="D19" s="84"/>
      <c r="E19" s="85"/>
      <c r="F19" s="85"/>
      <c r="G19" s="85"/>
      <c r="H19" s="85"/>
      <c r="I19" s="86" t="str">
        <f aca="false">IF(AND(ISNUMBER(E19),ISNUMBER(F19),ISNUMBER(G19),ISNUMBER(H19)),E19*0.4+F19*0.25+G19*0.2+H19*0.15,"")</f>
        <v/>
      </c>
      <c r="J19" s="87" t="str">
        <f aca="false">IF(I19="","—",IF(OR(E19=1,G19=1),"⛔ FALHA CRÍTICA",IF(I19&gt;=2.5,"✅ APROVADA",IF(I19&gt;=2,"⚠️ APROV. RESSALVAS",IF(I19&gt;=1.5,"🔁 REPROVADA","❌ FALHA CRÍTICA")))))</f>
        <v>—</v>
      </c>
      <c r="K19" s="79" t="str">
        <f aca="false">IF(I19="","—",IF(OR(E19=1,G19=1),"Escalar imediatamente.",IF(I19&gt;=2.5,"Liberar.",IF(I19&gt;=2,"Registrar ressalva.",IF(I19&gt;=1.5,"Retestar após ajuste.","Escalar imediatamente.")))))</f>
        <v>—</v>
      </c>
    </row>
    <row r="20" customFormat="false" ht="21.75" hidden="false" customHeight="true" outlineLevel="0" collapsed="false">
      <c r="A20" s="84"/>
      <c r="B20" s="84"/>
      <c r="C20" s="84"/>
      <c r="D20" s="84"/>
      <c r="E20" s="85"/>
      <c r="F20" s="85"/>
      <c r="G20" s="85"/>
      <c r="H20" s="85"/>
      <c r="I20" s="86" t="str">
        <f aca="false">IF(AND(ISNUMBER(E20),ISNUMBER(F20),ISNUMBER(G20),ISNUMBER(H20)),E20*0.4+F20*0.25+G20*0.2+H20*0.15,"")</f>
        <v/>
      </c>
      <c r="J20" s="87" t="str">
        <f aca="false">IF(I20="","—",IF(OR(E20=1,G20=1),"⛔ FALHA CRÍTICA",IF(I20&gt;=2.5,"✅ APROVADA",IF(I20&gt;=2,"⚠️ APROV. RESSALVAS",IF(I20&gt;=1.5,"🔁 REPROVADA","❌ FALHA CRÍTICA")))))</f>
        <v>—</v>
      </c>
      <c r="K20" s="79" t="str">
        <f aca="false">IF(I20="","—",IF(OR(E20=1,G20=1),"Escalar imediatamente.",IF(I20&gt;=2.5,"Liberar.",IF(I20&gt;=2,"Registrar ressalva.",IF(I20&gt;=1.5,"Retestar após ajuste.","Escalar imediatamente.")))))</f>
        <v>—</v>
      </c>
    </row>
    <row r="21" customFormat="false" ht="21.75" hidden="false" customHeight="true" outlineLevel="0" collapsed="false">
      <c r="A21" s="84"/>
      <c r="B21" s="84"/>
      <c r="C21" s="84"/>
      <c r="D21" s="84"/>
      <c r="E21" s="85"/>
      <c r="F21" s="85"/>
      <c r="G21" s="85"/>
      <c r="H21" s="85"/>
      <c r="I21" s="86" t="str">
        <f aca="false">IF(AND(ISNUMBER(E21),ISNUMBER(F21),ISNUMBER(G21),ISNUMBER(H21)),E21*0.4+F21*0.25+G21*0.2+H21*0.15,"")</f>
        <v/>
      </c>
      <c r="J21" s="87" t="str">
        <f aca="false">IF(I21="","—",IF(OR(E21=1,G21=1),"⛔ FALHA CRÍTICA",IF(I21&gt;=2.5,"✅ APROVADA",IF(I21&gt;=2,"⚠️ APROV. RESSALVAS",IF(I21&gt;=1.5,"🔁 REPROVADA","❌ FALHA CRÍTICA")))))</f>
        <v>—</v>
      </c>
      <c r="K21" s="79" t="str">
        <f aca="false">IF(I21="","—",IF(OR(E21=1,G21=1),"Escalar imediatamente.",IF(I21&gt;=2.5,"Liberar.",IF(I21&gt;=2,"Registrar ressalva.",IF(I21&gt;=1.5,"Retestar após ajuste.","Escalar imediatamente.")))))</f>
        <v>—</v>
      </c>
    </row>
    <row r="23" customFormat="false" ht="21.75" hidden="false" customHeight="true" outlineLevel="0" collapsed="false">
      <c r="A23" s="4" t="s">
        <v>153</v>
      </c>
      <c r="B23" s="4"/>
      <c r="C23" s="4"/>
      <c r="D23" s="4"/>
      <c r="E23" s="87" t="s">
        <v>154</v>
      </c>
      <c r="F23" s="87" t="s">
        <v>155</v>
      </c>
      <c r="G23" s="87" t="s">
        <v>156</v>
      </c>
      <c r="H23" s="87" t="s">
        <v>157</v>
      </c>
      <c r="I23" s="87" t="s">
        <v>158</v>
      </c>
      <c r="J23" s="87" t="s">
        <v>159</v>
      </c>
    </row>
    <row r="24" customFormat="false" ht="21.75" hidden="false" customHeight="true" outlineLevel="0" collapsed="false">
      <c r="E24" s="88" t="n">
        <f aca="false">COUNTA(A4:A21)</f>
        <v>5</v>
      </c>
      <c r="F24" s="88" t="n">
        <f aca="false">COUNTIF(I4:I21,"&gt;=2.5")</f>
        <v>1</v>
      </c>
      <c r="G24" s="88" t="n">
        <f aca="false">COUNTIFS(I4:I21,"&gt;=2",I4:I21,"&lt;2.5")</f>
        <v>2</v>
      </c>
      <c r="H24" s="88" t="n">
        <f aca="false">COUNTIF(I4:I21,"&lt;2")</f>
        <v>2</v>
      </c>
      <c r="I24" s="88" t="n">
        <f aca="false">COUNTIFS(I4:I21,"&lt;1.5",I4:I21,"&lt;&gt;")</f>
        <v>2</v>
      </c>
      <c r="J24" s="86" t="n">
        <f aca="false">IFERROR(AVERAGEIF(I4:I21,"&lt;&gt;"),"")</f>
        <v>1.91</v>
      </c>
    </row>
  </sheetData>
  <mergeCells count="3">
    <mergeCell ref="A1:K1"/>
    <mergeCell ref="A2:K2"/>
    <mergeCell ref="A23:D23"/>
  </mergeCells>
  <dataValidations count="1">
    <dataValidation allowBlank="true" error="Digite 1, 2 ou 3." errorStyle="stop" errorTitle="Nota inválida" operator="between" showDropDown="false" showErrorMessage="true" showInputMessage="false" sqref="E4:H21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2026-06-03T19:59:46Z</dcterms:created>
  <dc:creator>openpyxl</dc:creator>
  <dc:description/>
  <dc:language>en-US</dc:language>
  <cp:lastModifiedBy/>
  <dcterms:modified xsi:type="dcterms:W3CDTF">2026-06-03T20:20:42Z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